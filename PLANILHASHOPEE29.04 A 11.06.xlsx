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embaplan\"/>
    </mc:Choice>
  </mc:AlternateContent>
  <xr:revisionPtr revIDLastSave="0" documentId="13_ncr:1_{99118E6F-9E7B-45F8-9291-F943F9D1D3C4}" xr6:coauthVersionLast="47" xr6:coauthVersionMax="47" xr10:uidLastSave="{00000000-0000-0000-0000-000000000000}"/>
  <bookViews>
    <workbookView xWindow="-51705" yWindow="-2055" windowWidth="28545" windowHeight="20985" tabRatio="500" xr2:uid="{00000000-000D-0000-FFFF-FFFF00000000}"/>
  </bookViews>
  <sheets>
    <sheet name="Base e QC" sheetId="1" r:id="rId1"/>
  </sheets>
  <definedNames>
    <definedName name="_xlnm._FilterDatabase" localSheetId="0" hidden="1">'Base e QC'!$A$1:$V$85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85" i="1" l="1"/>
  <c r="O85" i="1"/>
  <c r="T84" i="1"/>
  <c r="U84" i="1" s="1"/>
  <c r="O84" i="1"/>
  <c r="T83" i="1"/>
  <c r="O83" i="1"/>
  <c r="T82" i="1"/>
  <c r="O82" i="1"/>
  <c r="T81" i="1"/>
  <c r="O81" i="1"/>
  <c r="T80" i="1"/>
  <c r="O80" i="1"/>
  <c r="T79" i="1"/>
  <c r="U79" i="1" s="1"/>
  <c r="O79" i="1"/>
  <c r="T78" i="1"/>
  <c r="O78" i="1"/>
  <c r="T77" i="1"/>
  <c r="O77" i="1"/>
  <c r="T76" i="1"/>
  <c r="U76" i="1" s="1"/>
  <c r="O76" i="1"/>
  <c r="U75" i="1"/>
  <c r="V75" i="1" s="1"/>
  <c r="T75" i="1"/>
  <c r="O75" i="1"/>
  <c r="T74" i="1"/>
  <c r="O74" i="1"/>
  <c r="T73" i="1"/>
  <c r="O73" i="1"/>
  <c r="T72" i="1"/>
  <c r="O72" i="1"/>
  <c r="T71" i="1"/>
  <c r="O71" i="1"/>
  <c r="U70" i="1"/>
  <c r="V70" i="1" s="1"/>
  <c r="T70" i="1"/>
  <c r="O70" i="1"/>
  <c r="T69" i="1"/>
  <c r="O69" i="1"/>
  <c r="T68" i="1"/>
  <c r="O68" i="1"/>
  <c r="T67" i="1"/>
  <c r="O67" i="1"/>
  <c r="T66" i="1"/>
  <c r="U66" i="1" s="1"/>
  <c r="O66" i="1"/>
  <c r="T65" i="1"/>
  <c r="U65" i="1" s="1"/>
  <c r="O65" i="1"/>
  <c r="T64" i="1"/>
  <c r="O64" i="1"/>
  <c r="T63" i="1"/>
  <c r="O63" i="1"/>
  <c r="T62" i="1"/>
  <c r="U62" i="1" s="1"/>
  <c r="O62" i="1"/>
  <c r="T61" i="1"/>
  <c r="O61" i="1"/>
  <c r="T60" i="1"/>
  <c r="O60" i="1"/>
  <c r="T59" i="1"/>
  <c r="O59" i="1"/>
  <c r="T58" i="1"/>
  <c r="O58" i="1"/>
  <c r="T57" i="1"/>
  <c r="O57" i="1"/>
  <c r="T56" i="1"/>
  <c r="O56" i="1"/>
  <c r="U55" i="1"/>
  <c r="V55" i="1" s="1"/>
  <c r="T55" i="1"/>
  <c r="O55" i="1"/>
  <c r="T54" i="1"/>
  <c r="O54" i="1"/>
  <c r="T53" i="1"/>
  <c r="O53" i="1"/>
  <c r="T52" i="1"/>
  <c r="O52" i="1"/>
  <c r="T51" i="1"/>
  <c r="O51" i="1"/>
  <c r="T50" i="1"/>
  <c r="O50" i="1"/>
  <c r="T49" i="1"/>
  <c r="O49" i="1"/>
  <c r="T48" i="1"/>
  <c r="O48" i="1"/>
  <c r="T47" i="1"/>
  <c r="U47" i="1" s="1"/>
  <c r="O47" i="1"/>
  <c r="T46" i="1"/>
  <c r="O46" i="1"/>
  <c r="T45" i="1"/>
  <c r="O45" i="1"/>
  <c r="T44" i="1"/>
  <c r="O44" i="1"/>
  <c r="T43" i="1"/>
  <c r="O43" i="1"/>
  <c r="T42" i="1"/>
  <c r="U42" i="1" s="1"/>
  <c r="O42" i="1"/>
  <c r="T41" i="1"/>
  <c r="O41" i="1"/>
  <c r="T40" i="1"/>
  <c r="O40" i="1"/>
  <c r="T39" i="1"/>
  <c r="O39" i="1"/>
  <c r="T38" i="1"/>
  <c r="O38" i="1"/>
  <c r="T37" i="1"/>
  <c r="O37" i="1"/>
  <c r="T36" i="1"/>
  <c r="O36" i="1"/>
  <c r="T35" i="1"/>
  <c r="U35" i="1" s="1"/>
  <c r="O35" i="1"/>
  <c r="T34" i="1"/>
  <c r="O34" i="1"/>
  <c r="T33" i="1"/>
  <c r="O33" i="1"/>
  <c r="T32" i="1"/>
  <c r="U32" i="1" s="1"/>
  <c r="O32" i="1"/>
  <c r="T31" i="1"/>
  <c r="U31" i="1" s="1"/>
  <c r="V31" i="1" s="1"/>
  <c r="O31" i="1"/>
  <c r="T30" i="1"/>
  <c r="O30" i="1"/>
  <c r="T29" i="1"/>
  <c r="O29" i="1"/>
  <c r="T28" i="1"/>
  <c r="O28" i="1"/>
  <c r="T27" i="1"/>
  <c r="U27" i="1" s="1"/>
  <c r="O27" i="1"/>
  <c r="T26" i="1"/>
  <c r="U26" i="1" s="1"/>
  <c r="O26" i="1"/>
  <c r="T25" i="1"/>
  <c r="U25" i="1" s="1"/>
  <c r="O25" i="1"/>
  <c r="T24" i="1"/>
  <c r="O24" i="1"/>
  <c r="T23" i="1"/>
  <c r="O23" i="1"/>
  <c r="T22" i="1"/>
  <c r="U22" i="1" s="1"/>
  <c r="O22" i="1"/>
  <c r="T21" i="1"/>
  <c r="O21" i="1"/>
  <c r="U20" i="1"/>
  <c r="T20" i="1"/>
  <c r="V20" i="1" s="1"/>
  <c r="O20" i="1"/>
  <c r="T19" i="1"/>
  <c r="O19" i="1"/>
  <c r="T18" i="1"/>
  <c r="O18" i="1"/>
  <c r="T17" i="1"/>
  <c r="O17" i="1"/>
  <c r="T16" i="1"/>
  <c r="O16" i="1"/>
  <c r="T15" i="1"/>
  <c r="U15" i="1" s="1"/>
  <c r="V15" i="1" s="1"/>
  <c r="O15" i="1"/>
  <c r="T14" i="1"/>
  <c r="O14" i="1"/>
  <c r="T13" i="1"/>
  <c r="O13" i="1"/>
  <c r="T12" i="1"/>
  <c r="O12" i="1"/>
  <c r="T11" i="1"/>
  <c r="U11" i="1" s="1"/>
  <c r="O11" i="1"/>
  <c r="T10" i="1"/>
  <c r="O10" i="1"/>
  <c r="T9" i="1"/>
  <c r="O9" i="1"/>
  <c r="T8" i="1"/>
  <c r="O8" i="1"/>
  <c r="T7" i="1"/>
  <c r="O7" i="1"/>
  <c r="T6" i="1"/>
  <c r="U6" i="1" s="1"/>
  <c r="O6" i="1"/>
  <c r="T5" i="1"/>
  <c r="O5" i="1"/>
  <c r="T4" i="1"/>
  <c r="O4" i="1"/>
  <c r="T3" i="1"/>
  <c r="O3" i="1"/>
  <c r="T2" i="1"/>
  <c r="O2" i="1"/>
  <c r="V80" i="1" l="1"/>
  <c r="V30" i="1"/>
  <c r="V5" i="1"/>
  <c r="V45" i="1"/>
  <c r="V25" i="1"/>
  <c r="V65" i="1"/>
  <c r="U50" i="1"/>
  <c r="V50" i="1" s="1"/>
  <c r="V11" i="1"/>
  <c r="V35" i="1"/>
  <c r="U51" i="1"/>
  <c r="V51" i="1" s="1"/>
  <c r="U40" i="1"/>
  <c r="V40" i="1" s="1"/>
  <c r="U85" i="1"/>
  <c r="V85" i="1" s="1"/>
  <c r="U71" i="1"/>
  <c r="V71" i="1" s="1"/>
  <c r="U80" i="1"/>
  <c r="U10" i="1"/>
  <c r="V10" i="1" s="1"/>
  <c r="U60" i="1"/>
  <c r="V60" i="1" s="1"/>
  <c r="U5" i="1"/>
  <c r="U45" i="1"/>
  <c r="U30" i="1"/>
  <c r="U81" i="1"/>
  <c r="V81" i="1" s="1"/>
  <c r="V14" i="1"/>
  <c r="U82" i="1"/>
  <c r="V82" i="1" s="1"/>
  <c r="V42" i="1"/>
  <c r="V49" i="1"/>
  <c r="V62" i="1"/>
  <c r="V12" i="1"/>
  <c r="V39" i="1"/>
  <c r="V66" i="1"/>
  <c r="U7" i="1"/>
  <c r="V7" i="1" s="1"/>
  <c r="U61" i="1"/>
  <c r="V61" i="1" s="1"/>
  <c r="V32" i="1"/>
  <c r="V6" i="1"/>
  <c r="V26" i="1"/>
  <c r="U41" i="1"/>
  <c r="V41" i="1" s="1"/>
  <c r="V9" i="1"/>
  <c r="V76" i="1"/>
  <c r="U72" i="1"/>
  <c r="V72" i="1" s="1"/>
  <c r="U46" i="1"/>
  <c r="V46" i="1" s="1"/>
  <c r="V47" i="1"/>
  <c r="U67" i="1"/>
  <c r="V67" i="1" s="1"/>
  <c r="V8" i="1"/>
  <c r="V29" i="1"/>
  <c r="U16" i="1"/>
  <c r="V16" i="1" s="1"/>
  <c r="U36" i="1"/>
  <c r="V36" i="1" s="1"/>
  <c r="U56" i="1"/>
  <c r="V56" i="1" s="1"/>
  <c r="V3" i="1"/>
  <c r="U77" i="1"/>
  <c r="V77" i="1" s="1"/>
  <c r="U17" i="1"/>
  <c r="V17" i="1" s="1"/>
  <c r="U37" i="1"/>
  <c r="V37" i="1" s="1"/>
  <c r="U57" i="1"/>
  <c r="V57" i="1" s="1"/>
  <c r="V18" i="1"/>
  <c r="V19" i="1"/>
  <c r="U12" i="1"/>
  <c r="U52" i="1"/>
  <c r="V52" i="1" s="1"/>
  <c r="V13" i="1"/>
  <c r="V27" i="1"/>
  <c r="U21" i="1"/>
  <c r="V21" i="1" s="1"/>
  <c r="V48" i="1"/>
  <c r="V22" i="1"/>
  <c r="U2" i="1"/>
  <c r="V2" i="1" s="1"/>
  <c r="V84" i="1"/>
  <c r="V79" i="1"/>
  <c r="U3" i="1"/>
  <c r="U8" i="1"/>
  <c r="U13" i="1"/>
  <c r="U18" i="1"/>
  <c r="U23" i="1"/>
  <c r="V23" i="1" s="1"/>
  <c r="U28" i="1"/>
  <c r="V28" i="1" s="1"/>
  <c r="U33" i="1"/>
  <c r="V33" i="1" s="1"/>
  <c r="U38" i="1"/>
  <c r="V38" i="1" s="1"/>
  <c r="U43" i="1"/>
  <c r="V43" i="1" s="1"/>
  <c r="U48" i="1"/>
  <c r="U53" i="1"/>
  <c r="V53" i="1" s="1"/>
  <c r="U58" i="1"/>
  <c r="V58" i="1" s="1"/>
  <c r="U63" i="1"/>
  <c r="V63" i="1" s="1"/>
  <c r="U68" i="1"/>
  <c r="V68" i="1" s="1"/>
  <c r="U73" i="1"/>
  <c r="V73" i="1" s="1"/>
  <c r="U78" i="1"/>
  <c r="V78" i="1" s="1"/>
  <c r="U83" i="1"/>
  <c r="V83" i="1" s="1"/>
  <c r="U4" i="1"/>
  <c r="V4" i="1" s="1"/>
  <c r="U9" i="1"/>
  <c r="U14" i="1"/>
  <c r="U19" i="1"/>
  <c r="U24" i="1"/>
  <c r="V24" i="1" s="1"/>
  <c r="U29" i="1"/>
  <c r="U34" i="1"/>
  <c r="V34" i="1" s="1"/>
  <c r="U39" i="1"/>
  <c r="U44" i="1"/>
  <c r="V44" i="1" s="1"/>
  <c r="U49" i="1"/>
  <c r="U54" i="1"/>
  <c r="V54" i="1" s="1"/>
  <c r="U59" i="1"/>
  <c r="V59" i="1" s="1"/>
  <c r="U64" i="1"/>
  <c r="V64" i="1" s="1"/>
  <c r="U69" i="1"/>
  <c r="V69" i="1" s="1"/>
  <c r="U74" i="1"/>
  <c r="V74" i="1" s="1"/>
</calcChain>
</file>

<file path=xl/sharedStrings.xml><?xml version="1.0" encoding="utf-8"?>
<sst xmlns="http://schemas.openxmlformats.org/spreadsheetml/2006/main" count="418" uniqueCount="195">
  <si>
    <t>#</t>
  </si>
  <si>
    <t>Loja</t>
  </si>
  <si>
    <t>ID do anúncio</t>
  </si>
  <si>
    <t>INDEX</t>
  </si>
  <si>
    <t>Nome</t>
  </si>
  <si>
    <t>Impressões</t>
  </si>
  <si>
    <t>Cliques</t>
  </si>
  <si>
    <t>CTR</t>
  </si>
  <si>
    <t>Convertidos</t>
  </si>
  <si>
    <t>Conversão</t>
  </si>
  <si>
    <t>Clicks</t>
  </si>
  <si>
    <t>Vendidos</t>
  </si>
  <si>
    <t>GMV</t>
  </si>
  <si>
    <t>Investimento</t>
  </si>
  <si>
    <t>ACOS</t>
  </si>
  <si>
    <t>Categoria</t>
  </si>
  <si>
    <t>tamanho</t>
  </si>
  <si>
    <t>Anunciada</t>
  </si>
  <si>
    <t>%l.Medio</t>
  </si>
  <si>
    <t>lucro liquido</t>
  </si>
  <si>
    <t>%Lliquido</t>
  </si>
  <si>
    <t>indice</t>
  </si>
  <si>
    <t>QC10</t>
  </si>
  <si>
    <t>10 Puzzles Inspirados em Contos de Fada - 60 Peças por Quebra-Cabeça com Embalagem Exclusiva [3]</t>
  </si>
  <si>
    <t>3.05%</t>
  </si>
  <si>
    <t>3.49%</t>
  </si>
  <si>
    <t>Quebra Cabeça</t>
  </si>
  <si>
    <t>10 Quebra-Cabeças bíblicos - 60 Peças por Puzzle - Maleta personalizada - Especial Escola Dominical [3]</t>
  </si>
  <si>
    <t>2.50%</t>
  </si>
  <si>
    <t>4.68%</t>
  </si>
  <si>
    <t>10 Quebra-Cabeças Bíblicos - Cada Puzzle com 60 Peças e Caixa Especial [2]</t>
  </si>
  <si>
    <t>2.45%</t>
  </si>
  <si>
    <t>4.12%</t>
  </si>
  <si>
    <t>BASE A4</t>
  </si>
  <si>
    <t>2 Base de Corte A4 Transparente Para Silhouette Portrait 4 - Cameo Com Cola [3]</t>
  </si>
  <si>
    <t>1.76%</t>
  </si>
  <si>
    <t>12.92%</t>
  </si>
  <si>
    <t>Base de corte</t>
  </si>
  <si>
    <t>A4</t>
  </si>
  <si>
    <t>QC05</t>
  </si>
  <si>
    <t>5 Quebra Cabeça Educativo Infantil - Kit Bíblico - Vol 1 [4]</t>
  </si>
  <si>
    <t>1.80%</t>
  </si>
  <si>
    <t>5.92%</t>
  </si>
  <si>
    <t>BASE 30X30</t>
  </si>
  <si>
    <t>Base de Corte 30x30 Transparente COMPATIVEL Silhouette Cameo 1, 2, 3 4, 5 Plus e Pro - Com Cola [3]</t>
  </si>
  <si>
    <t>1.62%</t>
  </si>
  <si>
    <t>13.91%</t>
  </si>
  <si>
    <t>30x30</t>
  </si>
  <si>
    <t>Base de Corte 30x30 Transparente Compativel Silhouette Cameo 1, 2, 3 e 4 Cola Refil 50g [2]</t>
  </si>
  <si>
    <t>1.24%</t>
  </si>
  <si>
    <t>2.22%</t>
  </si>
  <si>
    <t>BASE 30X60</t>
  </si>
  <si>
    <t>Base De Corte 30x60 Com Cola Compatível com Silhouette Cameo - Plotters Qualidade Original [5]</t>
  </si>
  <si>
    <t>2.24%</t>
  </si>
  <si>
    <t>4.48%</t>
  </si>
  <si>
    <t>30x60</t>
  </si>
  <si>
    <t>Base de Corte 30x60 Com Cola para Brother SDX 85, SDX 125 e SDX 225 - Envio Expresso [7]</t>
  </si>
  <si>
    <t>2.67%</t>
  </si>
  <si>
    <t>4.30%</t>
  </si>
  <si>
    <t>Base de Corte 30x60 Para Silhouette Cameo, Cameo 2 3 4 e 4 Plus - Com Cola e Sem Cola - 40mm e 30mm [5]</t>
  </si>
  <si>
    <t>0.94%</t>
  </si>
  <si>
    <t>7.84%</t>
  </si>
  <si>
    <t>Base de corte A4 Silhouette e Cameo 1 a 5 - Alta Durabilidade - Com ou Sem Cola [2]</t>
  </si>
  <si>
    <t>1.27%</t>
  </si>
  <si>
    <t>12.96%</t>
  </si>
  <si>
    <t>Base de Corte C/Cola 30x30 Brother Scanncut - Cm300 (Espessura: 30mm) [5]</t>
  </si>
  <si>
    <t>1.83%</t>
  </si>
  <si>
    <t>10.79%</t>
  </si>
  <si>
    <t>Base A4P</t>
  </si>
  <si>
    <t>Base de Corte Paisagem COMPATIVEL Silhouette Cameo, Cameo 1, 2, 3 E 4 - Com Cola [2]</t>
  </si>
  <si>
    <t>2.29%</t>
  </si>
  <si>
    <t>9.82%</t>
  </si>
  <si>
    <t>A4 Paisagem</t>
  </si>
  <si>
    <t>Base de Corte para Silhouette Cameo Bannercut 30x60 Com Cola Alta fixação e durabilidade [6]</t>
  </si>
  <si>
    <t>1.35%</t>
  </si>
  <si>
    <t>6.11%</t>
  </si>
  <si>
    <t>Brother ScanNCut - Base de Corte 30x30cm - Compatível com CM300, CM550 e CM650 [4]</t>
  </si>
  <si>
    <t>1.77%</t>
  </si>
  <si>
    <t>6.25%</t>
  </si>
  <si>
    <t>Conjunto 10 Quebra Cabeças Diferentes - Era dos Dinossauros - 60 Peças Cada Um [2]</t>
  </si>
  <si>
    <t>3.89%</t>
  </si>
  <si>
    <t>3.67%</t>
  </si>
  <si>
    <t>Esteira De Corte 30x30 Para Brother Scanncut CM300, CM550 e CM650 - Envio Imediato! [5]</t>
  </si>
  <si>
    <t>3.36%</t>
  </si>
  <si>
    <t>4.04%</t>
  </si>
  <si>
    <t>Kit 10 Quebra Cabeça Infantil Mundo Animal Colorido VOL 5 e 6 [2]</t>
  </si>
  <si>
    <t>2.12%</t>
  </si>
  <si>
    <t>4.60%</t>
  </si>
  <si>
    <t>Kit 10 Quebra Cabeças - Era dos Dinossauros e outros temas ESCOLHA - 60 Peças Cada [5]</t>
  </si>
  <si>
    <t>2.05%</t>
  </si>
  <si>
    <t>2.93%</t>
  </si>
  <si>
    <t>Kit 10 Quebra-Cabeças Infantil Educativo | Especial Escola Dominical | 60 Peças Cada | Aprendizado [4]</t>
  </si>
  <si>
    <t>1.59%</t>
  </si>
  <si>
    <t>1.49%</t>
  </si>
  <si>
    <t>KIT 2 Base de Corte 30x30 Transparente COMPATIVEL Silhouette Cameo 2, 3 - Com Cola [4]</t>
  </si>
  <si>
    <t>0.70%</t>
  </si>
  <si>
    <t>Kit 2 Base de Corte 30x30 Transparente Compativel Silhouette, Cameo - Com Cola Alta Fixação [2]</t>
  </si>
  <si>
    <t>1.65%</t>
  </si>
  <si>
    <t>12.70%</t>
  </si>
  <si>
    <t>Kit 2 Base de Corte A4 Para Silhouette Portrait 2, 3 e 4 - Cameo, Cameo 2 e 3 - Com Cola [3]</t>
  </si>
  <si>
    <t>1.52%</t>
  </si>
  <si>
    <t>9.60%</t>
  </si>
  <si>
    <t>Kit 2 Base de Corte A4 Transparente Silhouette Portrait, Portrait 2, 3 Cameo, Cameo 2 e 3 Com Cola [2]</t>
  </si>
  <si>
    <t>1.36%</t>
  </si>
  <si>
    <t>12.62%</t>
  </si>
  <si>
    <t>BASE A4P</t>
  </si>
  <si>
    <t>Kit 2 Base de Corte Transparente com Cola - A4 Portrait 4 - 250 micras Resistente</t>
  </si>
  <si>
    <t>4.17%</t>
  </si>
  <si>
    <t>BASE PAISAGEM</t>
  </si>
  <si>
    <t>KIT 4 Base de Corte A4 Paisagem  + Cola de Reposição Para Base 50g - Silhouette Portrait e Cameo</t>
  </si>
  <si>
    <t>1.29%</t>
  </si>
  <si>
    <t>6.49%</t>
  </si>
  <si>
    <t>Kit 4 Base de Corte A4 Transparente 1 Cola 50g Silhouette Portrait 2,  3 e 4 Papelaria e Escritório [2]</t>
  </si>
  <si>
    <t>1.37%</t>
  </si>
  <si>
    <t>7.07%</t>
  </si>
  <si>
    <t>KIT 5 placa - Base de Corte 30x60 - com Cola - compatível mesa Transparente</t>
  </si>
  <si>
    <t>0.90%</t>
  </si>
  <si>
    <t>0.00%</t>
  </si>
  <si>
    <t>Quebra Cabeça - Kit Com 10 Modelos - Dinossauros [2]</t>
  </si>
  <si>
    <t>2.09%</t>
  </si>
  <si>
    <t>3.66%</t>
  </si>
  <si>
    <t>Quebra Cabeça Kit Com 10 Modelos Mundo Animal VOL 1 e 2 [3]</t>
  </si>
  <si>
    <t>2.63%</t>
  </si>
  <si>
    <t>3.46%</t>
  </si>
  <si>
    <t>10 Quebra Cabeça Branco Para Sublimação - 60 Peças Cada [3]</t>
  </si>
  <si>
    <t>QC Sublimação</t>
  </si>
  <si>
    <t>BASE A3</t>
  </si>
  <si>
    <t>Base de Corte A3 Com Cola Para Cameo Silhouette Artesanato - Compatibilidade Universal [4]</t>
  </si>
  <si>
    <t>A3</t>
  </si>
  <si>
    <t>BASE P4</t>
  </si>
  <si>
    <t>Base de Corte Compatível Silhouette Portrait 4 com Cola - Kit com 2 [2]</t>
  </si>
  <si>
    <t>Portrait4</t>
  </si>
  <si>
    <t>BASE CRICUT JOY</t>
  </si>
  <si>
    <t>Base de Corte Power Film Com cola Compativel com CRICUT JOY XTRA</t>
  </si>
  <si>
    <t>Joy</t>
  </si>
  <si>
    <t>BASE CRICUT MINI</t>
  </si>
  <si>
    <t>Base de Corte Power Film Compatível Cricut Joy mini - 1un</t>
  </si>
  <si>
    <t>mini</t>
  </si>
  <si>
    <t>Base de Corte Sem Cola 30x60 Para Brother SDX 85, 125 e 225 Espessura original Rigidez [3]</t>
  </si>
  <si>
    <t>Combo 5 Quebra Cabeças Infantil Mundo Animal Vol 1 - 60 Peças Cada - Leve 5 - Presente de Aniversário [2]</t>
  </si>
  <si>
    <t>Kit 10 Quebra Cabeça Animais Safari Infantil – 600 Peças – Brinquedo Educational [3]</t>
  </si>
  <si>
    <t>Kit 10 Quebra Cabeça Dinossauro - Brinquedo de Montar Educativo Puzzle [5]</t>
  </si>
  <si>
    <t>Kit 10 Quebra Cabeças Infantil Dinossauros 60 Peças Cada - Brinquedo Educativo [3]</t>
  </si>
  <si>
    <t>Kit 2 Base de Corte A4 Transparente Silhouette - Cameo 2, 3, 4 - Com Cola [3]</t>
  </si>
  <si>
    <t>Kit 2 Base de Corte Portrait 4 (Com Cola)</t>
  </si>
  <si>
    <t>Kit 2 Base De Corte Power Film Compatível Cricut Joy Mini 11,5 x 30,5 cm</t>
  </si>
  <si>
    <t>Kit 2 Base de Corte Transparente A4 Retrato - Silhouette Portrait 1, 2 e 3 [5]</t>
  </si>
  <si>
    <t>Kit 2 Base de Corte Transparente A4 Silhouette Portrait 2, 3 e 4 Com Cola [2]</t>
  </si>
  <si>
    <t>Kit 3 Base de Corte A4 para Portrait 4 - TRANSPARENTE Papelaria Silhouette Esteira de corte - Com cola</t>
  </si>
  <si>
    <t>Kit 3 Base de Corte para Portrait 4 Compatível Silhouette</t>
  </si>
  <si>
    <t>Kit 4 Base de Corte A4 Compatível Silhouette Portrait + Liner Protetor [4]</t>
  </si>
  <si>
    <t>Kit 4 Base de Corte A4 Paisagem TRANSPARENTE (Com Cola) Silhouette Cameo Alta Rigidez [4]</t>
  </si>
  <si>
    <t>Kit 4 Base de Corte A4 Retrato - Transparente Compativel Silhouette Portrait e Cameo - Com Cola [2]</t>
  </si>
  <si>
    <t>Kit 4 Base de Corte A4 Retrato Compativel Silhouette Portrait -Com Cola [2]</t>
  </si>
  <si>
    <t>Kit 4 Base de Corte Transparente A4 Retrato - Silhouette Portrait 2, 3 e 4 - Com Cola [4]</t>
  </si>
  <si>
    <t>Kit 5 Base de Corte - 30x60cm - Compatível Silhouette Alta Rigidez Esteira de Corte Transparente [2]</t>
  </si>
  <si>
    <t>QC5</t>
  </si>
  <si>
    <t>Kit 5 Quebra Cabeças - 60 Peças Cada - Mundo Animal Vol 5 - Brinquedo Infantil Educativo [2]</t>
  </si>
  <si>
    <t>Kit 5 Quebra Cabeças 60 Peças - Mundo Animal Vol 2 Brinquedos educativos Bichos Dia das Crianças [2]</t>
  </si>
  <si>
    <t>Kit 5 Quebra Cabeças Infantil Histórias Bíblicas Educativas Cristão Vol 2 - 60 Peças cada [2]</t>
  </si>
  <si>
    <t>Kit 7 Base de Corte Silhouette Cameo 30x30cm</t>
  </si>
  <si>
    <t>QC</t>
  </si>
  <si>
    <t>Kit Quebra Cabeça - Mundo Animal Para Presente Educativo Clássicos Puzzle Presente de Natal [4]</t>
  </si>
  <si>
    <t>1 Base de Corte 30x30 Com Cola para ScanNcut SDX 85, 125 e 225 - Envio Expresso [3]</t>
  </si>
  <si>
    <t>1 Base de Corte 30x30 Para Silhouette Cameo, Cameo 1 2 3 4, 4 Plus e 4 Pro - Versão Com Cola e Sem Cola - 0,40mm [5]</t>
  </si>
  <si>
    <t>1 Base de Corte A3 Branca Para Plotters Cameo Silhouette E Outros Modelos Confira - Com Cola [2]</t>
  </si>
  <si>
    <t>1 Base de corte A4 Silhouette Portrait 1, 2, 3 - Cameo 2 e 3 - Transparente - Com Cola [4]</t>
  </si>
  <si>
    <t>1 Esteira Base de Corte 30x60 Para Plotters Cameo Silhouette [2]</t>
  </si>
  <si>
    <t>10 Quebra Cabeça Para Sublimação - 60 Peças Cada [4]</t>
  </si>
  <si>
    <t>2 Base de Corte 30x30 Transparente Para Silhouette Cameo, Cameo 2 3 4, 4 Plus e 4 Pro - Com e Sem Cola [3]</t>
  </si>
  <si>
    <t>2 Base de Corte A4 - Linha Pro Com Cola - Compativel Silhouette Portrait - Cameo [4]</t>
  </si>
  <si>
    <t>2 Base de Corte A4 Transparente + 1 Tubo de Cola Para Reposição - Para Silhouette Portrait e Cameo [4]</t>
  </si>
  <si>
    <t>4 Base de Corte A4 Transparente +1 Cola 50g Compativel Silhouette Portrait 2 e 3 -Com Cola [6]</t>
  </si>
  <si>
    <t>Base de corte 30x30 Silhouette Portrait 1, 2, e 3 Transparente Com e Sem Cola [2]</t>
  </si>
  <si>
    <t>Base de Corte 30x60 Para Cameo Silhouette - Espessura Original - Corte Com Precisão - Com Cola [3]</t>
  </si>
  <si>
    <t>BASE 90X60</t>
  </si>
  <si>
    <t>Base de corte 90x60 P/plotters Profissionais Silhouete Cameo 4, Cameo 4 Plus e Cameo Pro e outros modelos [3]</t>
  </si>
  <si>
    <t>90*60</t>
  </si>
  <si>
    <t>Base de corte A4 Silhouette Portrait 1, 2, 3 - Cameo Transparente Com e Sem Cola [3]</t>
  </si>
  <si>
    <t>Base de corte para Silhouette Portrait A4 - 250 Microns Espessura Original - Transparente - Com Cola [3]</t>
  </si>
  <si>
    <t>Base De Corte Portrait 4 Transparente + 1 Cola 50g</t>
  </si>
  <si>
    <t>Compatível</t>
  </si>
  <si>
    <t>Base de Corte Silhouette PORTRAIT e Silhouette CAMEO - Compatível Com Todos Os Modelos - COM COLA [3]</t>
  </si>
  <si>
    <t>??</t>
  </si>
  <si>
    <t>Kit 2 Base de Corte 30x30 Transparente + 1 Cola Refil Base 50g - Compativel Silhouette Portrait, Portrait 2, 3 [3]</t>
  </si>
  <si>
    <t>Kit 2 Base de Corte A4 Transparente + 1 Cola Para Reposição 50g - Compatível Com Silhouette Portrait E Cameo [4]</t>
  </si>
  <si>
    <t>Kit 2 Base de Corte Compativel Portrait 4 - com Cola</t>
  </si>
  <si>
    <t>QC30</t>
  </si>
  <si>
    <t>Kit 30 Quebra Cabeça Para Sublimação - 60 Peças Cada - Personalização Sublimar Em Branco [2]</t>
  </si>
  <si>
    <t>kit 4 Esteira de Corte 30x30 Transparente + 1 Cola Base 50g Compativel Silhouette Portrait 2 e 3 Cameo [3]</t>
  </si>
  <si>
    <t>QC50</t>
  </si>
  <si>
    <t>Kit 50 Quebra Cabeça Para Sublimação - 60 Peças Cada - Personalização Sublimar Em Branco</t>
  </si>
  <si>
    <t>Quebra Cabeça Para Sublimação - 60 Peças Cada [2]</t>
  </si>
  <si>
    <t>Base de Corte Compatível Silhouette Portrait e Cameo - Escolha o Modelo - COM COLA</t>
  </si>
  <si>
    <t>Kit 2 Esteiras de Corte Portrait 4 Profissional Compatível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</si>
</sst>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;[Red]\-[$R$-416]\ #,##0.00"/>
  </numFmts>
  <fonts count="5" x14ac:knownFonts="1">
    <font>
      <sz val="11"/>
      <color rgb="FF000000"/>
      <name val="Calibri"/>
      <family val="2"/>
      <charset val="1"/>
    </font>
    <font>
      <sz val="11"/>
      <color rgb="FFC9211E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u/>
      <sz val="11"/>
      <color rgb="FFC9211E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B9CDE5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4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85"/>
  <sheetViews>
    <sheetView tabSelected="1" zoomScale="175" zoomScaleNormal="175" workbookViewId="0">
      <selection activeCell="C26" sqref="C26"/>
    </sheetView>
  </sheetViews>
  <sheetFormatPr defaultColWidth="8.6640625" defaultRowHeight="14.4" x14ac:dyDescent="0.3"/>
  <cols>
    <col min="1" max="1" width="6.6640625" style="1" customWidth="1"/>
    <col min="2" max="2" width="6.77734375" style="1" customWidth="1"/>
    <col min="3" max="3" width="15.6640625" customWidth="1"/>
    <col min="4" max="4" width="14.6640625" style="2" customWidth="1"/>
    <col min="5" max="5" width="61.77734375" customWidth="1"/>
    <col min="6" max="6" width="12.44140625" style="1" customWidth="1"/>
    <col min="7" max="8" width="9.109375" style="1" customWidth="1"/>
    <col min="9" max="9" width="12.21875" style="1" customWidth="1"/>
    <col min="10" max="10" width="12.6640625" style="1" customWidth="1"/>
    <col min="11" max="11" width="12.33203125" style="3" customWidth="1"/>
    <col min="12" max="12" width="10.109375" style="1" customWidth="1"/>
    <col min="13" max="13" width="12.88671875" style="3" customWidth="1"/>
    <col min="14" max="14" width="15.88671875" style="3" customWidth="1"/>
    <col min="16" max="16" width="14" style="4" customWidth="1"/>
    <col min="17" max="17" width="15" style="4" customWidth="1"/>
    <col min="18" max="18" width="10.109375" style="4" customWidth="1"/>
    <col min="19" max="19" width="11.21875" style="1" customWidth="1"/>
    <col min="20" max="20" width="11.88671875" style="3" customWidth="1"/>
    <col min="21" max="21" width="9.44140625" style="1" customWidth="1"/>
    <col min="22" max="22" width="9.6640625" style="1" customWidth="1"/>
  </cols>
  <sheetData>
    <row r="1" spans="1:1024" s="14" customFormat="1" x14ac:dyDescent="0.3">
      <c r="A1" s="7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0" t="s">
        <v>10</v>
      </c>
      <c r="L1" s="8" t="s">
        <v>11</v>
      </c>
      <c r="M1" s="10" t="s">
        <v>12</v>
      </c>
      <c r="N1" s="10" t="s">
        <v>13</v>
      </c>
      <c r="O1" s="8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13" t="s">
        <v>19</v>
      </c>
      <c r="U1" s="12" t="s">
        <v>20</v>
      </c>
      <c r="V1" s="12" t="s">
        <v>21</v>
      </c>
      <c r="AMI1" s="15"/>
      <c r="AMJ1" s="15"/>
    </row>
    <row r="2" spans="1:1024" x14ac:dyDescent="0.3">
      <c r="A2" s="1">
        <v>27</v>
      </c>
      <c r="B2" s="1">
        <v>1</v>
      </c>
      <c r="C2" s="1">
        <v>22497100181</v>
      </c>
      <c r="D2" s="4" t="s">
        <v>22</v>
      </c>
      <c r="E2" t="s">
        <v>23</v>
      </c>
      <c r="F2" s="1">
        <v>34737</v>
      </c>
      <c r="G2" s="1">
        <v>1061</v>
      </c>
      <c r="H2" s="1" t="s">
        <v>24</v>
      </c>
      <c r="I2" s="1">
        <v>37</v>
      </c>
      <c r="J2" s="1" t="s">
        <v>25</v>
      </c>
      <c r="K2" s="3">
        <v>5.7</v>
      </c>
      <c r="L2" s="1">
        <v>37</v>
      </c>
      <c r="M2" s="3">
        <v>2351.1</v>
      </c>
      <c r="N2" s="3">
        <v>210.87</v>
      </c>
      <c r="O2" s="5">
        <f t="shared" ref="O2:O33" si="0">+N2/M2</f>
        <v>8.9689932372081158E-2</v>
      </c>
      <c r="P2" s="4" t="s">
        <v>26</v>
      </c>
      <c r="Q2" s="4" t="s">
        <v>26</v>
      </c>
      <c r="R2" s="4">
        <v>10</v>
      </c>
      <c r="S2" s="5">
        <v>0.28100000000000003</v>
      </c>
      <c r="T2" s="3">
        <f t="shared" ref="T2:T33" si="1">+S2*(M2-N2-K2)</f>
        <v>599.80293000000006</v>
      </c>
      <c r="U2" s="5">
        <f t="shared" ref="U2:U33" si="2">+T2/M2</f>
        <v>0.25511587342095193</v>
      </c>
      <c r="V2" s="6">
        <f t="shared" ref="V2:V33" si="3">+T2*U2</f>
        <v>153.0192483673961</v>
      </c>
    </row>
    <row r="3" spans="1:1024" x14ac:dyDescent="0.3">
      <c r="A3" s="1">
        <v>26</v>
      </c>
      <c r="B3" s="1">
        <v>1</v>
      </c>
      <c r="C3" s="1">
        <v>22497100169</v>
      </c>
      <c r="D3" s="4" t="s">
        <v>22</v>
      </c>
      <c r="E3" t="s">
        <v>27</v>
      </c>
      <c r="F3" s="1">
        <v>53005</v>
      </c>
      <c r="G3" s="1">
        <v>1325</v>
      </c>
      <c r="H3" s="1" t="s">
        <v>28</v>
      </c>
      <c r="I3" s="1">
        <v>62</v>
      </c>
      <c r="J3" s="5" t="s">
        <v>29</v>
      </c>
      <c r="K3" s="3">
        <v>5.15</v>
      </c>
      <c r="L3" s="1">
        <v>71</v>
      </c>
      <c r="M3" s="3">
        <v>4259.8999999999996</v>
      </c>
      <c r="N3" s="3">
        <v>319.44</v>
      </c>
      <c r="O3" s="5">
        <f t="shared" si="0"/>
        <v>7.4987675767036785E-2</v>
      </c>
      <c r="P3" s="4" t="s">
        <v>26</v>
      </c>
      <c r="Q3" s="4" t="s">
        <v>26</v>
      </c>
      <c r="R3" s="4">
        <v>10</v>
      </c>
      <c r="S3" s="5">
        <v>0.28100000000000003</v>
      </c>
      <c r="T3" s="3">
        <f t="shared" si="1"/>
        <v>1105.8221100000001</v>
      </c>
      <c r="U3" s="5">
        <f t="shared" si="2"/>
        <v>0.25958874856217284</v>
      </c>
      <c r="V3" s="6">
        <f t="shared" si="3"/>
        <v>287.05897766728145</v>
      </c>
    </row>
    <row r="4" spans="1:1024" x14ac:dyDescent="0.3">
      <c r="A4" s="1">
        <v>24</v>
      </c>
      <c r="B4" s="1">
        <v>1</v>
      </c>
      <c r="C4" s="1">
        <v>22497100149</v>
      </c>
      <c r="D4" s="4" t="s">
        <v>22</v>
      </c>
      <c r="E4" t="s">
        <v>30</v>
      </c>
      <c r="F4" s="1">
        <v>84099</v>
      </c>
      <c r="G4" s="1">
        <v>2061</v>
      </c>
      <c r="H4" s="1" t="s">
        <v>31</v>
      </c>
      <c r="I4" s="1">
        <v>85</v>
      </c>
      <c r="J4" s="1" t="s">
        <v>32</v>
      </c>
      <c r="K4" s="3">
        <v>6.03</v>
      </c>
      <c r="L4" s="1">
        <v>87</v>
      </c>
      <c r="M4" s="3">
        <v>5612.9</v>
      </c>
      <c r="N4" s="3">
        <v>512.82000000000005</v>
      </c>
      <c r="O4" s="5">
        <f t="shared" si="0"/>
        <v>9.13645352669743E-2</v>
      </c>
      <c r="P4" s="4" t="s">
        <v>26</v>
      </c>
      <c r="Q4" s="4" t="s">
        <v>26</v>
      </c>
      <c r="R4" s="4">
        <v>10</v>
      </c>
      <c r="S4" s="5">
        <v>0.28100000000000003</v>
      </c>
      <c r="T4" s="3">
        <f t="shared" si="1"/>
        <v>1431.4280500000002</v>
      </c>
      <c r="U4" s="5">
        <f t="shared" si="2"/>
        <v>0.25502468420958868</v>
      </c>
      <c r="V4" s="6">
        <f t="shared" si="3"/>
        <v>365.04948641999738</v>
      </c>
    </row>
    <row r="5" spans="1:1024" x14ac:dyDescent="0.3">
      <c r="A5" s="1">
        <v>1</v>
      </c>
      <c r="B5" s="1">
        <v>1</v>
      </c>
      <c r="C5" s="1">
        <v>23697297381</v>
      </c>
      <c r="D5" s="4" t="s">
        <v>33</v>
      </c>
      <c r="E5" t="s">
        <v>34</v>
      </c>
      <c r="F5" s="1">
        <v>29098</v>
      </c>
      <c r="G5" s="1">
        <v>511</v>
      </c>
      <c r="H5" s="1" t="s">
        <v>35</v>
      </c>
      <c r="I5" s="1">
        <v>66</v>
      </c>
      <c r="J5" s="1" t="s">
        <v>36</v>
      </c>
      <c r="K5" s="3">
        <v>3.38</v>
      </c>
      <c r="L5" s="1">
        <v>66</v>
      </c>
      <c r="M5" s="3">
        <v>2876.4</v>
      </c>
      <c r="N5" s="3">
        <v>223.4</v>
      </c>
      <c r="O5" s="5">
        <f t="shared" si="0"/>
        <v>7.7666527603949376E-2</v>
      </c>
      <c r="P5" s="4" t="s">
        <v>37</v>
      </c>
      <c r="Q5" s="4" t="s">
        <v>38</v>
      </c>
      <c r="R5" s="4">
        <v>2</v>
      </c>
      <c r="S5" s="5">
        <v>0.40699999999999997</v>
      </c>
      <c r="T5" s="3">
        <f t="shared" si="1"/>
        <v>1078.3953399999998</v>
      </c>
      <c r="U5" s="5">
        <f t="shared" si="2"/>
        <v>0.37491146572104012</v>
      </c>
      <c r="V5" s="6">
        <f t="shared" si="3"/>
        <v>404.30277754613934</v>
      </c>
    </row>
    <row r="6" spans="1:1024" x14ac:dyDescent="0.3">
      <c r="A6" s="1">
        <v>28</v>
      </c>
      <c r="B6" s="1">
        <v>1</v>
      </c>
      <c r="C6" s="1">
        <v>21573674223</v>
      </c>
      <c r="D6" s="4" t="s">
        <v>39</v>
      </c>
      <c r="E6" t="s">
        <v>40</v>
      </c>
      <c r="F6" s="1">
        <v>15962</v>
      </c>
      <c r="G6" s="1">
        <v>287</v>
      </c>
      <c r="H6" s="1" t="s">
        <v>41</v>
      </c>
      <c r="I6" s="1">
        <v>17</v>
      </c>
      <c r="J6" s="1" t="s">
        <v>42</v>
      </c>
      <c r="K6" s="3">
        <v>4.09</v>
      </c>
      <c r="L6" s="1">
        <v>17</v>
      </c>
      <c r="M6" s="3">
        <v>832.3</v>
      </c>
      <c r="N6" s="3">
        <v>69.459999999999994</v>
      </c>
      <c r="O6" s="5">
        <f t="shared" si="0"/>
        <v>8.3455484801153432E-2</v>
      </c>
      <c r="P6" s="4" t="s">
        <v>26</v>
      </c>
      <c r="Q6" s="4" t="s">
        <v>26</v>
      </c>
      <c r="R6" s="4">
        <v>5</v>
      </c>
      <c r="S6" s="5">
        <v>0.34300000000000003</v>
      </c>
      <c r="T6" s="3">
        <f t="shared" si="1"/>
        <v>260.25124999999997</v>
      </c>
      <c r="U6" s="5">
        <f t="shared" si="2"/>
        <v>0.31268923465096721</v>
      </c>
      <c r="V6" s="6">
        <f t="shared" si="3"/>
        <v>81.377764179457515</v>
      </c>
    </row>
    <row r="7" spans="1:1024" x14ac:dyDescent="0.3">
      <c r="A7" s="1">
        <v>10</v>
      </c>
      <c r="B7" s="1">
        <v>1</v>
      </c>
      <c r="C7" s="1">
        <v>23092653904</v>
      </c>
      <c r="D7" s="4" t="s">
        <v>43</v>
      </c>
      <c r="E7" t="s">
        <v>44</v>
      </c>
      <c r="F7" s="1">
        <v>7103</v>
      </c>
      <c r="G7" s="1">
        <v>115</v>
      </c>
      <c r="H7" s="1" t="s">
        <v>45</v>
      </c>
      <c r="I7" s="1">
        <v>16</v>
      </c>
      <c r="J7" s="1" t="s">
        <v>46</v>
      </c>
      <c r="K7" s="3">
        <v>3.38</v>
      </c>
      <c r="L7" s="1">
        <v>17</v>
      </c>
      <c r="M7" s="3">
        <v>549.29999999999995</v>
      </c>
      <c r="N7" s="3">
        <v>54.14</v>
      </c>
      <c r="O7" s="5">
        <f t="shared" si="0"/>
        <v>9.8561805934826149E-2</v>
      </c>
      <c r="P7" s="4" t="s">
        <v>37</v>
      </c>
      <c r="Q7" s="4" t="s">
        <v>47</v>
      </c>
      <c r="R7" s="4">
        <v>1</v>
      </c>
      <c r="S7" s="5">
        <v>0.35399999999999998</v>
      </c>
      <c r="T7" s="3">
        <f t="shared" si="1"/>
        <v>174.09011999999998</v>
      </c>
      <c r="U7" s="5">
        <f t="shared" si="2"/>
        <v>0.31693085745494265</v>
      </c>
      <c r="V7" s="6">
        <f t="shared" si="3"/>
        <v>55.174531006033853</v>
      </c>
    </row>
    <row r="8" spans="1:1024" x14ac:dyDescent="0.3">
      <c r="A8" s="1">
        <v>19</v>
      </c>
      <c r="B8" s="1">
        <v>1</v>
      </c>
      <c r="C8" s="1">
        <v>22393068915</v>
      </c>
      <c r="D8" s="4" t="s">
        <v>43</v>
      </c>
      <c r="E8" t="s">
        <v>48</v>
      </c>
      <c r="F8" s="1">
        <v>7253</v>
      </c>
      <c r="G8" s="1">
        <v>90</v>
      </c>
      <c r="H8" s="1" t="s">
        <v>49</v>
      </c>
      <c r="I8" s="1">
        <v>2</v>
      </c>
      <c r="J8" s="1" t="s">
        <v>50</v>
      </c>
      <c r="K8" s="3">
        <v>29.64</v>
      </c>
      <c r="L8" s="1">
        <v>2</v>
      </c>
      <c r="M8" s="3">
        <v>77.8</v>
      </c>
      <c r="N8" s="3">
        <v>59.28</v>
      </c>
      <c r="O8" s="5">
        <f t="shared" si="0"/>
        <v>0.76195372750642676</v>
      </c>
      <c r="P8" s="4" t="s">
        <v>37</v>
      </c>
      <c r="Q8" s="4" t="s">
        <v>47</v>
      </c>
      <c r="R8" s="4">
        <v>1</v>
      </c>
      <c r="S8" s="5">
        <v>0.35399999999999998</v>
      </c>
      <c r="T8" s="3">
        <f t="shared" si="1"/>
        <v>-3.9364800000000013</v>
      </c>
      <c r="U8" s="5">
        <f t="shared" si="2"/>
        <v>-5.0597429305912614E-2</v>
      </c>
      <c r="V8" s="6">
        <f t="shared" si="3"/>
        <v>0.19917576851413896</v>
      </c>
    </row>
    <row r="9" spans="1:1024" x14ac:dyDescent="0.3">
      <c r="A9" s="1">
        <v>15</v>
      </c>
      <c r="B9" s="1">
        <v>1</v>
      </c>
      <c r="C9" s="1">
        <v>11714995653</v>
      </c>
      <c r="D9" s="4" t="s">
        <v>51</v>
      </c>
      <c r="E9" t="s">
        <v>52</v>
      </c>
      <c r="F9" s="1">
        <v>5987</v>
      </c>
      <c r="G9" s="1">
        <v>134</v>
      </c>
      <c r="H9" s="1" t="s">
        <v>53</v>
      </c>
      <c r="I9" s="1">
        <v>6</v>
      </c>
      <c r="J9" s="1" t="s">
        <v>54</v>
      </c>
      <c r="K9" s="3">
        <v>6.37</v>
      </c>
      <c r="L9" s="1">
        <v>6</v>
      </c>
      <c r="M9" s="3">
        <v>269.39999999999998</v>
      </c>
      <c r="N9" s="3">
        <v>38.22</v>
      </c>
      <c r="O9" s="5">
        <f t="shared" si="0"/>
        <v>0.14187082405345211</v>
      </c>
      <c r="P9" s="4" t="s">
        <v>37</v>
      </c>
      <c r="Q9" s="4" t="s">
        <v>55</v>
      </c>
      <c r="R9" s="4">
        <v>1</v>
      </c>
      <c r="S9" s="5">
        <v>0.317</v>
      </c>
      <c r="T9" s="3">
        <f t="shared" si="1"/>
        <v>71.264769999999999</v>
      </c>
      <c r="U9" s="5">
        <f t="shared" si="2"/>
        <v>0.26453144023756497</v>
      </c>
      <c r="V9" s="6">
        <f t="shared" si="3"/>
        <v>18.851772246298815</v>
      </c>
    </row>
    <row r="10" spans="1:1024" x14ac:dyDescent="0.3">
      <c r="A10" s="1">
        <v>9</v>
      </c>
      <c r="B10" s="1">
        <v>1</v>
      </c>
      <c r="C10" s="1">
        <v>15250252385</v>
      </c>
      <c r="D10" s="4" t="s">
        <v>51</v>
      </c>
      <c r="E10" t="s">
        <v>56</v>
      </c>
      <c r="F10" s="1">
        <v>11329</v>
      </c>
      <c r="G10" s="1">
        <v>302</v>
      </c>
      <c r="H10" s="1" t="s">
        <v>57</v>
      </c>
      <c r="I10" s="1">
        <v>13</v>
      </c>
      <c r="J10" s="1" t="s">
        <v>58</v>
      </c>
      <c r="K10" s="3">
        <v>4.6399999999999997</v>
      </c>
      <c r="L10" s="1">
        <v>14</v>
      </c>
      <c r="M10" s="3">
        <v>558.6</v>
      </c>
      <c r="N10" s="3">
        <v>60.34</v>
      </c>
      <c r="O10" s="5">
        <f t="shared" si="0"/>
        <v>0.10802005012531328</v>
      </c>
      <c r="P10" s="4" t="s">
        <v>37</v>
      </c>
      <c r="Q10" s="4" t="s">
        <v>55</v>
      </c>
      <c r="R10" s="4">
        <v>1</v>
      </c>
      <c r="S10" s="5">
        <v>0.33700000000000002</v>
      </c>
      <c r="T10" s="3">
        <f t="shared" si="1"/>
        <v>166.34994</v>
      </c>
      <c r="U10" s="5">
        <f t="shared" si="2"/>
        <v>0.29779795918367347</v>
      </c>
      <c r="V10" s="6">
        <f t="shared" si="3"/>
        <v>49.538672642326532</v>
      </c>
    </row>
    <row r="11" spans="1:1024" x14ac:dyDescent="0.3">
      <c r="A11" s="1">
        <v>17</v>
      </c>
      <c r="B11" s="1">
        <v>1</v>
      </c>
      <c r="C11" s="1">
        <v>22891613667</v>
      </c>
      <c r="D11" s="4" t="s">
        <v>51</v>
      </c>
      <c r="E11" t="s">
        <v>59</v>
      </c>
      <c r="F11" s="1">
        <v>5413</v>
      </c>
      <c r="G11" s="1">
        <v>51</v>
      </c>
      <c r="H11" s="1" t="s">
        <v>60</v>
      </c>
      <c r="I11" s="1">
        <v>4</v>
      </c>
      <c r="J11" s="1" t="s">
        <v>61</v>
      </c>
      <c r="K11" s="3">
        <v>4.57</v>
      </c>
      <c r="L11" s="1">
        <v>4</v>
      </c>
      <c r="M11" s="3">
        <v>183.6</v>
      </c>
      <c r="N11" s="3">
        <v>18.28</v>
      </c>
      <c r="O11" s="5">
        <f t="shared" si="0"/>
        <v>9.9564270152505449E-2</v>
      </c>
      <c r="P11" s="4" t="s">
        <v>37</v>
      </c>
      <c r="Q11" s="4" t="s">
        <v>55</v>
      </c>
      <c r="R11" s="4">
        <v>5</v>
      </c>
      <c r="S11" s="5">
        <v>0.317</v>
      </c>
      <c r="T11" s="3">
        <f t="shared" si="1"/>
        <v>50.957749999999997</v>
      </c>
      <c r="U11" s="5">
        <f t="shared" si="2"/>
        <v>0.2775476579520697</v>
      </c>
      <c r="V11" s="6">
        <f t="shared" si="3"/>
        <v>14.143204167007079</v>
      </c>
    </row>
    <row r="12" spans="1:1024" x14ac:dyDescent="0.3">
      <c r="A12" s="1">
        <v>14</v>
      </c>
      <c r="B12" s="1">
        <v>1</v>
      </c>
      <c r="C12" s="1">
        <v>23597556517</v>
      </c>
      <c r="D12" s="4" t="s">
        <v>33</v>
      </c>
      <c r="E12" t="s">
        <v>62</v>
      </c>
      <c r="F12" s="1">
        <v>4249</v>
      </c>
      <c r="G12" s="1">
        <v>54</v>
      </c>
      <c r="H12" s="1" t="s">
        <v>63</v>
      </c>
      <c r="I12" s="1">
        <v>7</v>
      </c>
      <c r="J12" s="1" t="s">
        <v>64</v>
      </c>
      <c r="K12" s="3">
        <v>2.96</v>
      </c>
      <c r="L12" s="1">
        <v>8</v>
      </c>
      <c r="M12" s="3">
        <v>342</v>
      </c>
      <c r="N12" s="3">
        <v>20.75</v>
      </c>
      <c r="O12" s="5">
        <f t="shared" si="0"/>
        <v>6.0672514619883038E-2</v>
      </c>
      <c r="P12" s="4" t="s">
        <v>37</v>
      </c>
      <c r="Q12" s="4" t="s">
        <v>38</v>
      </c>
      <c r="R12" s="4">
        <v>1</v>
      </c>
      <c r="S12" s="5">
        <v>0.38500000000000001</v>
      </c>
      <c r="T12" s="3">
        <f t="shared" si="1"/>
        <v>122.54165</v>
      </c>
      <c r="U12" s="5">
        <f t="shared" si="2"/>
        <v>0.35830891812865501</v>
      </c>
      <c r="V12" s="6">
        <f t="shared" si="3"/>
        <v>43.907766037200297</v>
      </c>
    </row>
    <row r="13" spans="1:1024" x14ac:dyDescent="0.3">
      <c r="A13" s="1">
        <v>6</v>
      </c>
      <c r="B13" s="1">
        <v>1</v>
      </c>
      <c r="C13" s="1">
        <v>13869340936</v>
      </c>
      <c r="D13" s="4" t="s">
        <v>43</v>
      </c>
      <c r="E13" t="s">
        <v>65</v>
      </c>
      <c r="F13" s="1">
        <v>13144</v>
      </c>
      <c r="G13" s="1">
        <v>241</v>
      </c>
      <c r="H13" s="1" t="s">
        <v>66</v>
      </c>
      <c r="I13" s="1">
        <v>26</v>
      </c>
      <c r="J13" s="1" t="s">
        <v>67</v>
      </c>
      <c r="K13" s="3">
        <v>4.2</v>
      </c>
      <c r="L13" s="1">
        <v>27</v>
      </c>
      <c r="M13" s="3">
        <v>997.3</v>
      </c>
      <c r="N13" s="3">
        <v>109.09</v>
      </c>
      <c r="O13" s="5">
        <f t="shared" si="0"/>
        <v>0.10938534041913166</v>
      </c>
      <c r="P13" s="4" t="s">
        <v>37</v>
      </c>
      <c r="Q13" s="4" t="s">
        <v>47</v>
      </c>
      <c r="R13" s="4">
        <v>1</v>
      </c>
      <c r="S13" s="5">
        <v>0.38900000000000001</v>
      </c>
      <c r="T13" s="3">
        <f t="shared" si="1"/>
        <v>343.87988999999999</v>
      </c>
      <c r="U13" s="5">
        <f t="shared" si="2"/>
        <v>0.34481087937431065</v>
      </c>
      <c r="V13" s="6">
        <f t="shared" si="3"/>
        <v>118.57352727004121</v>
      </c>
    </row>
    <row r="14" spans="1:1024" x14ac:dyDescent="0.3">
      <c r="A14" s="1">
        <v>7</v>
      </c>
      <c r="B14" s="1">
        <v>1</v>
      </c>
      <c r="C14" s="1">
        <v>22097387599</v>
      </c>
      <c r="D14" s="4" t="s">
        <v>68</v>
      </c>
      <c r="E14" t="s">
        <v>69</v>
      </c>
      <c r="F14" s="1">
        <v>14226</v>
      </c>
      <c r="G14" s="1">
        <v>326</v>
      </c>
      <c r="H14" s="1" t="s">
        <v>70</v>
      </c>
      <c r="I14" s="1">
        <v>32</v>
      </c>
      <c r="J14" s="1" t="s">
        <v>71</v>
      </c>
      <c r="K14" s="3">
        <v>2.86</v>
      </c>
      <c r="L14" s="1">
        <v>38</v>
      </c>
      <c r="M14" s="3">
        <v>794.2</v>
      </c>
      <c r="N14" s="3">
        <v>91.39</v>
      </c>
      <c r="O14" s="5">
        <f t="shared" si="0"/>
        <v>0.11507177033492823</v>
      </c>
      <c r="P14" s="4" t="s">
        <v>37</v>
      </c>
      <c r="Q14" s="4" t="s">
        <v>72</v>
      </c>
      <c r="R14" s="4">
        <v>1</v>
      </c>
      <c r="S14" s="5">
        <v>0.36199999999999999</v>
      </c>
      <c r="T14" s="3">
        <f t="shared" si="1"/>
        <v>253.3819</v>
      </c>
      <c r="U14" s="5">
        <f t="shared" si="2"/>
        <v>0.31904041803072275</v>
      </c>
      <c r="V14" s="6">
        <f t="shared" si="3"/>
        <v>80.839067297418794</v>
      </c>
    </row>
    <row r="15" spans="1:1024" x14ac:dyDescent="0.3">
      <c r="A15" s="1">
        <v>13</v>
      </c>
      <c r="B15" s="1">
        <v>1</v>
      </c>
      <c r="C15" s="1">
        <v>15657461060</v>
      </c>
      <c r="D15" s="4" t="s">
        <v>51</v>
      </c>
      <c r="E15" t="s">
        <v>73</v>
      </c>
      <c r="F15" s="1">
        <v>9699</v>
      </c>
      <c r="G15" s="1">
        <v>131</v>
      </c>
      <c r="H15" s="1" t="s">
        <v>74</v>
      </c>
      <c r="I15" s="1">
        <v>8</v>
      </c>
      <c r="J15" s="1" t="s">
        <v>75</v>
      </c>
      <c r="K15" s="3">
        <v>5.55</v>
      </c>
      <c r="L15" s="1">
        <v>9</v>
      </c>
      <c r="M15" s="3">
        <v>413.1</v>
      </c>
      <c r="N15" s="3">
        <v>44.36</v>
      </c>
      <c r="O15" s="5">
        <f t="shared" si="0"/>
        <v>0.1073832001936577</v>
      </c>
      <c r="P15" s="4" t="s">
        <v>37</v>
      </c>
      <c r="Q15" s="4" t="s">
        <v>55</v>
      </c>
      <c r="R15" s="4">
        <v>1</v>
      </c>
      <c r="S15" s="5">
        <v>0.317</v>
      </c>
      <c r="T15" s="3">
        <f t="shared" si="1"/>
        <v>115.13123</v>
      </c>
      <c r="U15" s="5">
        <f t="shared" si="2"/>
        <v>0.27870062938755746</v>
      </c>
      <c r="V15" s="6">
        <f t="shared" si="3"/>
        <v>32.087146263163639</v>
      </c>
    </row>
    <row r="16" spans="1:1024" x14ac:dyDescent="0.3">
      <c r="A16" s="1">
        <v>12</v>
      </c>
      <c r="B16" s="1">
        <v>1</v>
      </c>
      <c r="C16" s="1">
        <v>15037739365</v>
      </c>
      <c r="D16" s="4" t="s">
        <v>43</v>
      </c>
      <c r="E16" t="s">
        <v>76</v>
      </c>
      <c r="F16" s="1">
        <v>10829</v>
      </c>
      <c r="G16" s="1">
        <v>192</v>
      </c>
      <c r="H16" s="1" t="s">
        <v>77</v>
      </c>
      <c r="I16" s="1">
        <v>12</v>
      </c>
      <c r="J16" s="1" t="s">
        <v>78</v>
      </c>
      <c r="K16" s="3">
        <v>5.14</v>
      </c>
      <c r="L16" s="1">
        <v>13</v>
      </c>
      <c r="M16" s="3">
        <v>465.7</v>
      </c>
      <c r="N16" s="3">
        <v>61.64</v>
      </c>
      <c r="O16" s="5">
        <f t="shared" si="0"/>
        <v>0.13235988834013312</v>
      </c>
      <c r="P16" s="4" t="s">
        <v>37</v>
      </c>
      <c r="Q16" s="4" t="s">
        <v>47</v>
      </c>
      <c r="R16" s="4">
        <v>1</v>
      </c>
      <c r="S16" s="5">
        <v>0.38900000000000001</v>
      </c>
      <c r="T16" s="3">
        <f t="shared" si="1"/>
        <v>155.17988</v>
      </c>
      <c r="U16" s="5">
        <f t="shared" si="2"/>
        <v>0.33321855271634099</v>
      </c>
      <c r="V16" s="6">
        <f t="shared" si="3"/>
        <v>51.708815024295468</v>
      </c>
    </row>
    <row r="17" spans="1:22" x14ac:dyDescent="0.3">
      <c r="A17" s="1">
        <v>23</v>
      </c>
      <c r="B17" s="1">
        <v>1</v>
      </c>
      <c r="C17" s="1">
        <v>23795681999</v>
      </c>
      <c r="D17" s="4" t="s">
        <v>22</v>
      </c>
      <c r="E17" t="s">
        <v>79</v>
      </c>
      <c r="F17" s="1">
        <v>80022</v>
      </c>
      <c r="G17" s="1">
        <v>3109</v>
      </c>
      <c r="H17" s="1" t="s">
        <v>80</v>
      </c>
      <c r="I17" s="1">
        <v>114</v>
      </c>
      <c r="J17" s="1" t="s">
        <v>81</v>
      </c>
      <c r="K17" s="3">
        <v>4.75</v>
      </c>
      <c r="L17" s="1">
        <v>118</v>
      </c>
      <c r="M17" s="3">
        <v>7614.31</v>
      </c>
      <c r="N17" s="3">
        <v>541.03</v>
      </c>
      <c r="O17" s="5">
        <f t="shared" si="0"/>
        <v>7.105436999544279E-2</v>
      </c>
      <c r="P17" s="4" t="s">
        <v>26</v>
      </c>
      <c r="Q17" s="4" t="s">
        <v>26</v>
      </c>
      <c r="R17" s="4">
        <v>10</v>
      </c>
      <c r="S17" s="5">
        <v>0.28100000000000003</v>
      </c>
      <c r="T17" s="3">
        <f t="shared" si="1"/>
        <v>1986.2569300000005</v>
      </c>
      <c r="U17" s="5">
        <f t="shared" si="2"/>
        <v>0.26085842709319695</v>
      </c>
      <c r="V17" s="6">
        <f t="shared" si="3"/>
        <v>518.13185856276232</v>
      </c>
    </row>
    <row r="18" spans="1:22" x14ac:dyDescent="0.3">
      <c r="A18" s="1">
        <v>4</v>
      </c>
      <c r="B18" s="1">
        <v>1</v>
      </c>
      <c r="C18" s="1">
        <v>15833567190</v>
      </c>
      <c r="D18" s="4" t="s">
        <v>43</v>
      </c>
      <c r="E18" t="s">
        <v>82</v>
      </c>
      <c r="F18" s="1">
        <v>24998</v>
      </c>
      <c r="G18" s="1">
        <v>841</v>
      </c>
      <c r="H18" s="1" t="s">
        <v>83</v>
      </c>
      <c r="I18" s="1">
        <v>34</v>
      </c>
      <c r="J18" s="1" t="s">
        <v>84</v>
      </c>
      <c r="K18" s="3">
        <v>3.99</v>
      </c>
      <c r="L18" s="1">
        <v>38</v>
      </c>
      <c r="M18" s="3">
        <v>1360.2</v>
      </c>
      <c r="N18" s="3">
        <v>135.61000000000001</v>
      </c>
      <c r="O18" s="5">
        <f t="shared" si="0"/>
        <v>9.9698573739156013E-2</v>
      </c>
      <c r="P18" s="4" t="s">
        <v>37</v>
      </c>
      <c r="Q18" s="4" t="s">
        <v>47</v>
      </c>
      <c r="R18" s="4">
        <v>1</v>
      </c>
      <c r="S18" s="5">
        <v>0.38900000000000001</v>
      </c>
      <c r="T18" s="3">
        <f t="shared" si="1"/>
        <v>474.81340000000006</v>
      </c>
      <c r="U18" s="5">
        <f t="shared" si="2"/>
        <v>0.34907616526981328</v>
      </c>
      <c r="V18" s="6">
        <f t="shared" si="3"/>
        <v>165.74604089072199</v>
      </c>
    </row>
    <row r="19" spans="1:22" x14ac:dyDescent="0.3">
      <c r="A19" s="1">
        <v>29</v>
      </c>
      <c r="B19" s="1">
        <v>1</v>
      </c>
      <c r="C19" s="1">
        <v>22992892990</v>
      </c>
      <c r="D19" s="4" t="s">
        <v>22</v>
      </c>
      <c r="E19" t="s">
        <v>85</v>
      </c>
      <c r="F19" s="1">
        <v>12303</v>
      </c>
      <c r="G19" s="1">
        <v>261</v>
      </c>
      <c r="H19" s="1" t="s">
        <v>86</v>
      </c>
      <c r="I19" s="1">
        <v>12</v>
      </c>
      <c r="J19" s="1" t="s">
        <v>87</v>
      </c>
      <c r="K19" s="3">
        <v>6.17</v>
      </c>
      <c r="L19" s="1">
        <v>13</v>
      </c>
      <c r="M19" s="3">
        <v>830.95</v>
      </c>
      <c r="N19" s="3">
        <v>74.069999999999993</v>
      </c>
      <c r="O19" s="5">
        <f t="shared" si="0"/>
        <v>8.913893736085203E-2</v>
      </c>
      <c r="P19" s="4" t="s">
        <v>26</v>
      </c>
      <c r="Q19" s="4" t="s">
        <v>26</v>
      </c>
      <c r="R19" s="4">
        <v>10</v>
      </c>
      <c r="S19" s="5">
        <v>0.28100000000000003</v>
      </c>
      <c r="T19" s="3">
        <f t="shared" si="1"/>
        <v>210.94951000000006</v>
      </c>
      <c r="U19" s="5">
        <f t="shared" si="2"/>
        <v>0.25386546723629588</v>
      </c>
      <c r="V19" s="6">
        <f t="shared" si="3"/>
        <v>53.552795919417683</v>
      </c>
    </row>
    <row r="20" spans="1:22" x14ac:dyDescent="0.3">
      <c r="A20" s="1">
        <v>30</v>
      </c>
      <c r="B20" s="1">
        <v>1</v>
      </c>
      <c r="C20" s="1">
        <v>18321126663</v>
      </c>
      <c r="D20" s="4" t="s">
        <v>22</v>
      </c>
      <c r="E20" t="s">
        <v>88</v>
      </c>
      <c r="F20" s="1">
        <v>16643</v>
      </c>
      <c r="G20" s="1">
        <v>341</v>
      </c>
      <c r="H20" s="1" t="s">
        <v>89</v>
      </c>
      <c r="I20" s="1">
        <v>10</v>
      </c>
      <c r="J20" s="1" t="s">
        <v>90</v>
      </c>
      <c r="K20" s="3">
        <v>8.66</v>
      </c>
      <c r="L20" s="1">
        <v>10</v>
      </c>
      <c r="M20" s="3">
        <v>638.89</v>
      </c>
      <c r="N20" s="3">
        <v>86.59</v>
      </c>
      <c r="O20" s="5">
        <f t="shared" si="0"/>
        <v>0.13553193820532486</v>
      </c>
      <c r="P20" s="4" t="s">
        <v>26</v>
      </c>
      <c r="Q20" s="4" t="s">
        <v>26</v>
      </c>
      <c r="R20" s="4">
        <v>10</v>
      </c>
      <c r="S20" s="5">
        <v>0.28100000000000003</v>
      </c>
      <c r="T20" s="3">
        <f t="shared" si="1"/>
        <v>152.76284000000001</v>
      </c>
      <c r="U20" s="5">
        <f t="shared" si="2"/>
        <v>0.23910663807541208</v>
      </c>
      <c r="V20" s="6">
        <f t="shared" si="3"/>
        <v>36.526609095252084</v>
      </c>
    </row>
    <row r="21" spans="1:22" x14ac:dyDescent="0.3">
      <c r="A21" s="1">
        <v>32</v>
      </c>
      <c r="B21" s="1">
        <v>1</v>
      </c>
      <c r="C21" s="1">
        <v>22528314756</v>
      </c>
      <c r="D21" s="4" t="s">
        <v>22</v>
      </c>
      <c r="E21" t="s">
        <v>91</v>
      </c>
      <c r="F21" s="1">
        <v>12609</v>
      </c>
      <c r="G21" s="1">
        <v>201</v>
      </c>
      <c r="H21" s="1" t="s">
        <v>92</v>
      </c>
      <c r="I21" s="1">
        <v>3</v>
      </c>
      <c r="J21" s="1" t="s">
        <v>93</v>
      </c>
      <c r="K21" s="3">
        <v>10.74</v>
      </c>
      <c r="L21" s="1">
        <v>3</v>
      </c>
      <c r="M21" s="3">
        <v>203.67</v>
      </c>
      <c r="N21" s="3">
        <v>32.229999999999997</v>
      </c>
      <c r="O21" s="5">
        <f t="shared" si="0"/>
        <v>0.15824618255020376</v>
      </c>
      <c r="P21" s="4" t="s">
        <v>26</v>
      </c>
      <c r="Q21" s="4" t="s">
        <v>26</v>
      </c>
      <c r="R21" s="4">
        <v>10</v>
      </c>
      <c r="S21" s="5">
        <v>0.28100000000000003</v>
      </c>
      <c r="T21" s="3">
        <f t="shared" si="1"/>
        <v>45.156700000000001</v>
      </c>
      <c r="U21" s="5">
        <f t="shared" si="2"/>
        <v>0.2217150292139245</v>
      </c>
      <c r="V21" s="6">
        <f t="shared" si="3"/>
        <v>10.011919059704425</v>
      </c>
    </row>
    <row r="22" spans="1:22" x14ac:dyDescent="0.3">
      <c r="A22" s="1">
        <v>20</v>
      </c>
      <c r="B22" s="1">
        <v>1</v>
      </c>
      <c r="C22" s="1">
        <v>23897145567</v>
      </c>
      <c r="D22" s="4" t="s">
        <v>43</v>
      </c>
      <c r="E22" t="s">
        <v>94</v>
      </c>
      <c r="F22" s="1">
        <v>2291</v>
      </c>
      <c r="G22" s="1">
        <v>16</v>
      </c>
      <c r="H22" s="1" t="s">
        <v>95</v>
      </c>
      <c r="I22" s="1">
        <v>1</v>
      </c>
      <c r="J22" s="1" t="s">
        <v>78</v>
      </c>
      <c r="K22" s="3">
        <v>3.38</v>
      </c>
      <c r="L22" s="1">
        <v>1</v>
      </c>
      <c r="M22" s="3">
        <v>69.900000000000006</v>
      </c>
      <c r="N22" s="3">
        <v>3.38</v>
      </c>
      <c r="O22" s="5">
        <f t="shared" si="0"/>
        <v>4.8354792560801142E-2</v>
      </c>
      <c r="P22" s="4" t="s">
        <v>37</v>
      </c>
      <c r="Q22" s="4" t="s">
        <v>47</v>
      </c>
      <c r="R22" s="4">
        <v>2</v>
      </c>
      <c r="S22" s="5">
        <v>0.35599999999999998</v>
      </c>
      <c r="T22" s="3">
        <f t="shared" si="1"/>
        <v>22.47784</v>
      </c>
      <c r="U22" s="5">
        <f t="shared" si="2"/>
        <v>0.32157138769670957</v>
      </c>
      <c r="V22" s="6">
        <f t="shared" si="3"/>
        <v>7.2282302012246067</v>
      </c>
    </row>
    <row r="23" spans="1:22" x14ac:dyDescent="0.3">
      <c r="A23" s="1">
        <v>2</v>
      </c>
      <c r="B23" s="1">
        <v>1</v>
      </c>
      <c r="C23" s="1">
        <v>23092653852</v>
      </c>
      <c r="D23" s="4" t="s">
        <v>43</v>
      </c>
      <c r="E23" t="s">
        <v>96</v>
      </c>
      <c r="F23" s="1">
        <v>18551</v>
      </c>
      <c r="G23" s="1">
        <v>307</v>
      </c>
      <c r="H23" s="1" t="s">
        <v>97</v>
      </c>
      <c r="I23" s="1">
        <v>39</v>
      </c>
      <c r="J23" s="1" t="s">
        <v>98</v>
      </c>
      <c r="K23" s="3">
        <v>4.29</v>
      </c>
      <c r="L23" s="1">
        <v>40</v>
      </c>
      <c r="M23" s="3">
        <v>1992</v>
      </c>
      <c r="N23" s="3">
        <v>167.24</v>
      </c>
      <c r="O23" s="5">
        <f t="shared" si="0"/>
        <v>8.3955823293172693E-2</v>
      </c>
      <c r="P23" s="4" t="s">
        <v>37</v>
      </c>
      <c r="Q23" s="4" t="s">
        <v>47</v>
      </c>
      <c r="R23" s="4">
        <v>2</v>
      </c>
      <c r="S23" s="5">
        <v>0.35599999999999998</v>
      </c>
      <c r="T23" s="3">
        <f t="shared" si="1"/>
        <v>648.08731999999998</v>
      </c>
      <c r="U23" s="5">
        <f t="shared" si="2"/>
        <v>0.32534504016064258</v>
      </c>
      <c r="V23" s="6">
        <f t="shared" si="3"/>
        <v>210.8519951530032</v>
      </c>
    </row>
    <row r="24" spans="1:22" x14ac:dyDescent="0.3">
      <c r="A24" s="1">
        <v>5</v>
      </c>
      <c r="B24" s="1">
        <v>1</v>
      </c>
      <c r="C24" s="1">
        <v>20997495267</v>
      </c>
      <c r="D24" s="4" t="s">
        <v>33</v>
      </c>
      <c r="E24" t="s">
        <v>99</v>
      </c>
      <c r="F24" s="1">
        <v>19897</v>
      </c>
      <c r="G24" s="1">
        <v>302</v>
      </c>
      <c r="H24" s="1" t="s">
        <v>100</v>
      </c>
      <c r="I24" s="1">
        <v>29</v>
      </c>
      <c r="J24" s="1" t="s">
        <v>101</v>
      </c>
      <c r="K24" s="3">
        <v>3.4</v>
      </c>
      <c r="L24" s="1">
        <v>29</v>
      </c>
      <c r="M24" s="3">
        <v>1194.7</v>
      </c>
      <c r="N24" s="3">
        <v>98.67</v>
      </c>
      <c r="O24" s="5">
        <f t="shared" si="0"/>
        <v>8.2589771490750821E-2</v>
      </c>
      <c r="P24" s="4" t="s">
        <v>37</v>
      </c>
      <c r="Q24" s="4" t="s">
        <v>38</v>
      </c>
      <c r="R24" s="4">
        <v>2</v>
      </c>
      <c r="S24" s="5">
        <v>0.40699999999999997</v>
      </c>
      <c r="T24" s="3">
        <f t="shared" si="1"/>
        <v>444.70040999999992</v>
      </c>
      <c r="U24" s="5">
        <f t="shared" si="2"/>
        <v>0.37222768058926919</v>
      </c>
      <c r="V24" s="6">
        <f t="shared" si="3"/>
        <v>165.52980217139702</v>
      </c>
    </row>
    <row r="25" spans="1:22" x14ac:dyDescent="0.3">
      <c r="A25" s="1">
        <v>11</v>
      </c>
      <c r="B25" s="1">
        <v>1</v>
      </c>
      <c r="C25" s="1">
        <v>20997495263</v>
      </c>
      <c r="D25" s="4" t="s">
        <v>33</v>
      </c>
      <c r="E25" t="s">
        <v>102</v>
      </c>
      <c r="F25" s="1">
        <v>7559</v>
      </c>
      <c r="G25" s="1">
        <v>103</v>
      </c>
      <c r="H25" s="1" t="s">
        <v>103</v>
      </c>
      <c r="I25" s="1">
        <v>13</v>
      </c>
      <c r="J25" s="1" t="s">
        <v>104</v>
      </c>
      <c r="K25" s="3">
        <v>3.35</v>
      </c>
      <c r="L25" s="1">
        <v>13</v>
      </c>
      <c r="M25" s="3">
        <v>472.7</v>
      </c>
      <c r="N25" s="3">
        <v>43.51</v>
      </c>
      <c r="O25" s="5">
        <f t="shared" si="0"/>
        <v>9.2045694943939077E-2</v>
      </c>
      <c r="P25" s="4" t="s">
        <v>37</v>
      </c>
      <c r="Q25" s="4" t="s">
        <v>38</v>
      </c>
      <c r="R25" s="4">
        <v>2</v>
      </c>
      <c r="S25" s="5">
        <v>0.40699999999999997</v>
      </c>
      <c r="T25" s="3">
        <f t="shared" si="1"/>
        <v>173.31687999999997</v>
      </c>
      <c r="U25" s="5">
        <f t="shared" si="2"/>
        <v>0.3666530145969959</v>
      </c>
      <c r="V25" s="6">
        <f t="shared" si="3"/>
        <v>63.547156532545777</v>
      </c>
    </row>
    <row r="26" spans="1:22" x14ac:dyDescent="0.3">
      <c r="A26" s="1">
        <v>18</v>
      </c>
      <c r="B26" s="1">
        <v>1</v>
      </c>
      <c r="C26" s="1">
        <v>19899863668</v>
      </c>
      <c r="D26" s="4" t="s">
        <v>105</v>
      </c>
      <c r="E26" t="s">
        <v>106</v>
      </c>
      <c r="F26" s="1">
        <v>3862</v>
      </c>
      <c r="G26" s="1">
        <v>48</v>
      </c>
      <c r="H26" s="1" t="s">
        <v>49</v>
      </c>
      <c r="I26" s="1">
        <v>2</v>
      </c>
      <c r="J26" s="1" t="s">
        <v>107</v>
      </c>
      <c r="K26" s="3">
        <v>15.08</v>
      </c>
      <c r="L26" s="1">
        <v>2</v>
      </c>
      <c r="M26" s="3">
        <v>116.8</v>
      </c>
      <c r="N26" s="3">
        <v>30.17</v>
      </c>
      <c r="O26" s="5">
        <f t="shared" si="0"/>
        <v>0.25830479452054794</v>
      </c>
      <c r="P26" s="4" t="s">
        <v>37</v>
      </c>
      <c r="Q26" s="4" t="s">
        <v>72</v>
      </c>
      <c r="R26" s="4">
        <v>2</v>
      </c>
      <c r="S26" s="5">
        <v>0.17699999999999999</v>
      </c>
      <c r="T26" s="3">
        <f t="shared" si="1"/>
        <v>12.664349999999999</v>
      </c>
      <c r="U26" s="5">
        <f t="shared" si="2"/>
        <v>0.10842765410958903</v>
      </c>
      <c r="V26" s="6">
        <f t="shared" si="3"/>
        <v>1.3731657613227737</v>
      </c>
    </row>
    <row r="27" spans="1:22" x14ac:dyDescent="0.3">
      <c r="A27" s="1">
        <v>8</v>
      </c>
      <c r="B27" s="1">
        <v>1</v>
      </c>
      <c r="C27" s="1">
        <v>23393517180</v>
      </c>
      <c r="D27" s="4" t="s">
        <v>108</v>
      </c>
      <c r="E27" t="s">
        <v>109</v>
      </c>
      <c r="F27" s="1">
        <v>5992</v>
      </c>
      <c r="G27" s="1">
        <v>77</v>
      </c>
      <c r="H27" s="1" t="s">
        <v>110</v>
      </c>
      <c r="I27" s="1">
        <v>5</v>
      </c>
      <c r="J27" s="1" t="s">
        <v>111</v>
      </c>
      <c r="K27" s="3">
        <v>15.95</v>
      </c>
      <c r="L27" s="1">
        <v>6</v>
      </c>
      <c r="M27" s="3">
        <v>599.4</v>
      </c>
      <c r="N27" s="3">
        <v>79.77</v>
      </c>
      <c r="O27" s="5">
        <f t="shared" si="0"/>
        <v>0.13308308308308309</v>
      </c>
      <c r="P27" s="4" t="s">
        <v>37</v>
      </c>
      <c r="Q27" s="4" t="s">
        <v>72</v>
      </c>
      <c r="R27" s="4">
        <v>4</v>
      </c>
      <c r="S27" s="5">
        <v>0.372</v>
      </c>
      <c r="T27" s="3">
        <f t="shared" si="1"/>
        <v>187.36895999999999</v>
      </c>
      <c r="U27" s="5">
        <f t="shared" si="2"/>
        <v>0.31259419419419421</v>
      </c>
      <c r="V27" s="6">
        <f t="shared" si="3"/>
        <v>58.570449068204205</v>
      </c>
    </row>
    <row r="28" spans="1:22" x14ac:dyDescent="0.3">
      <c r="A28" s="1">
        <v>3</v>
      </c>
      <c r="B28" s="1">
        <v>1</v>
      </c>
      <c r="C28" s="1">
        <v>20997495265</v>
      </c>
      <c r="D28" s="4" t="s">
        <v>33</v>
      </c>
      <c r="E28" t="s">
        <v>112</v>
      </c>
      <c r="F28" s="1">
        <v>26902</v>
      </c>
      <c r="G28" s="1">
        <v>368</v>
      </c>
      <c r="H28" s="1" t="s">
        <v>113</v>
      </c>
      <c r="I28" s="1">
        <v>26</v>
      </c>
      <c r="J28" s="1" t="s">
        <v>114</v>
      </c>
      <c r="K28" s="3">
        <v>7.51</v>
      </c>
      <c r="L28" s="1">
        <v>26</v>
      </c>
      <c r="M28" s="3">
        <v>1883.4</v>
      </c>
      <c r="N28" s="3">
        <v>195.33</v>
      </c>
      <c r="O28" s="5">
        <f t="shared" si="0"/>
        <v>0.10371137304874165</v>
      </c>
      <c r="P28" s="4" t="s">
        <v>37</v>
      </c>
      <c r="Q28" s="4" t="s">
        <v>38</v>
      </c>
      <c r="R28" s="4">
        <v>4</v>
      </c>
      <c r="S28" s="5">
        <v>0.376</v>
      </c>
      <c r="T28" s="3">
        <f t="shared" si="1"/>
        <v>631.89056000000005</v>
      </c>
      <c r="U28" s="5">
        <f t="shared" si="2"/>
        <v>0.33550523521291281</v>
      </c>
      <c r="V28" s="6">
        <f t="shared" si="3"/>
        <v>212.00259096161921</v>
      </c>
    </row>
    <row r="29" spans="1:22" x14ac:dyDescent="0.3">
      <c r="A29" s="1">
        <v>22</v>
      </c>
      <c r="B29" s="1">
        <v>1</v>
      </c>
      <c r="C29" s="1">
        <v>22298698288</v>
      </c>
      <c r="D29" s="4" t="s">
        <v>51</v>
      </c>
      <c r="E29" t="s">
        <v>115</v>
      </c>
      <c r="F29" s="1">
        <v>332</v>
      </c>
      <c r="G29" s="1">
        <v>3</v>
      </c>
      <c r="H29" s="1" t="s">
        <v>116</v>
      </c>
      <c r="I29" s="1">
        <v>0</v>
      </c>
      <c r="J29" s="1" t="s">
        <v>117</v>
      </c>
      <c r="K29" s="3">
        <v>0</v>
      </c>
      <c r="L29" s="1">
        <v>0</v>
      </c>
      <c r="M29" s="3">
        <v>0</v>
      </c>
      <c r="N29" s="3">
        <v>0.49</v>
      </c>
      <c r="O29" s="5" t="e">
        <f t="shared" si="0"/>
        <v>#DIV/0!</v>
      </c>
      <c r="P29" s="4" t="s">
        <v>37</v>
      </c>
      <c r="Q29" s="4" t="s">
        <v>55</v>
      </c>
      <c r="R29" s="4">
        <v>5</v>
      </c>
      <c r="S29" s="5">
        <v>0.29699999999999999</v>
      </c>
      <c r="T29" s="3">
        <f t="shared" si="1"/>
        <v>-0.14552999999999999</v>
      </c>
      <c r="U29" s="5" t="e">
        <f t="shared" si="2"/>
        <v>#DIV/0!</v>
      </c>
      <c r="V29" s="6" t="e">
        <f t="shared" si="3"/>
        <v>#DIV/0!</v>
      </c>
    </row>
    <row r="30" spans="1:22" x14ac:dyDescent="0.3">
      <c r="A30" s="1">
        <v>31</v>
      </c>
      <c r="B30" s="1">
        <v>1</v>
      </c>
      <c r="C30" s="1">
        <v>18976211935</v>
      </c>
      <c r="D30" s="4" t="s">
        <v>22</v>
      </c>
      <c r="E30" t="s">
        <v>118</v>
      </c>
      <c r="F30" s="1">
        <v>9122</v>
      </c>
      <c r="G30" s="1">
        <v>191</v>
      </c>
      <c r="H30" s="1" t="s">
        <v>119</v>
      </c>
      <c r="I30" s="1">
        <v>7</v>
      </c>
      <c r="J30" s="1" t="s">
        <v>120</v>
      </c>
      <c r="K30" s="3">
        <v>9.76</v>
      </c>
      <c r="L30" s="1">
        <v>7</v>
      </c>
      <c r="M30" s="3">
        <v>419.9</v>
      </c>
      <c r="N30" s="3">
        <v>68.349999999999994</v>
      </c>
      <c r="O30" s="5">
        <f t="shared" si="0"/>
        <v>0.16277685163134079</v>
      </c>
      <c r="P30" s="4" t="s">
        <v>26</v>
      </c>
      <c r="Q30" s="4" t="s">
        <v>26</v>
      </c>
      <c r="R30" s="4">
        <v>10</v>
      </c>
      <c r="S30" s="5">
        <v>0.28100000000000003</v>
      </c>
      <c r="T30" s="3">
        <f t="shared" si="1"/>
        <v>96.042990000000003</v>
      </c>
      <c r="U30" s="5">
        <f t="shared" si="2"/>
        <v>0.2287282448201953</v>
      </c>
      <c r="V30" s="6">
        <f t="shared" si="3"/>
        <v>21.96774452998357</v>
      </c>
    </row>
    <row r="31" spans="1:22" x14ac:dyDescent="0.3">
      <c r="A31" s="1">
        <v>25</v>
      </c>
      <c r="B31" s="1">
        <v>1</v>
      </c>
      <c r="C31" s="1">
        <v>22797389671</v>
      </c>
      <c r="D31" s="4" t="s">
        <v>22</v>
      </c>
      <c r="E31" t="s">
        <v>121</v>
      </c>
      <c r="F31" s="1">
        <v>87872</v>
      </c>
      <c r="G31" s="1">
        <v>2315</v>
      </c>
      <c r="H31" s="1" t="s">
        <v>122</v>
      </c>
      <c r="I31" s="1">
        <v>80</v>
      </c>
      <c r="J31" s="1" t="s">
        <v>123</v>
      </c>
      <c r="K31" s="3">
        <v>4.96</v>
      </c>
      <c r="L31" s="1">
        <v>81</v>
      </c>
      <c r="M31" s="3">
        <v>5455.08</v>
      </c>
      <c r="N31" s="3">
        <v>396.55</v>
      </c>
      <c r="O31" s="5">
        <f t="shared" si="0"/>
        <v>7.2693709349817059E-2</v>
      </c>
      <c r="P31" s="4" t="s">
        <v>26</v>
      </c>
      <c r="Q31" s="4" t="s">
        <v>26</v>
      </c>
      <c r="R31" s="4">
        <v>10</v>
      </c>
      <c r="S31" s="5">
        <v>0.28100000000000003</v>
      </c>
      <c r="T31" s="3">
        <f t="shared" si="1"/>
        <v>1420.0531700000001</v>
      </c>
      <c r="U31" s="5">
        <f t="shared" si="2"/>
        <v>0.26031757004480233</v>
      </c>
      <c r="V31" s="6">
        <f t="shared" si="3"/>
        <v>369.66479054881864</v>
      </c>
    </row>
    <row r="32" spans="1:22" x14ac:dyDescent="0.3">
      <c r="A32" s="1">
        <v>62</v>
      </c>
      <c r="B32" s="1">
        <v>2</v>
      </c>
      <c r="C32" s="1">
        <v>22896684408</v>
      </c>
      <c r="D32" s="4" t="s">
        <v>22</v>
      </c>
      <c r="E32" t="s">
        <v>124</v>
      </c>
      <c r="F32" s="1">
        <v>3</v>
      </c>
      <c r="G32" s="1">
        <v>0</v>
      </c>
      <c r="H32" s="5">
        <v>0</v>
      </c>
      <c r="I32" s="1">
        <v>0</v>
      </c>
      <c r="J32" s="1">
        <v>0</v>
      </c>
      <c r="K32" s="3">
        <v>0</v>
      </c>
      <c r="L32" s="1">
        <v>0</v>
      </c>
      <c r="M32" s="3">
        <v>0</v>
      </c>
      <c r="N32" s="3">
        <v>0</v>
      </c>
      <c r="O32" s="5" t="e">
        <f t="shared" si="0"/>
        <v>#DIV/0!</v>
      </c>
      <c r="P32" s="4" t="s">
        <v>26</v>
      </c>
      <c r="Q32" s="4" t="s">
        <v>125</v>
      </c>
      <c r="R32" s="4">
        <v>10</v>
      </c>
      <c r="S32" s="5">
        <v>0.317</v>
      </c>
      <c r="T32" s="3">
        <f t="shared" si="1"/>
        <v>0</v>
      </c>
      <c r="U32" s="5" t="e">
        <f t="shared" si="2"/>
        <v>#DIV/0!</v>
      </c>
      <c r="V32" s="6" t="e">
        <f t="shared" si="3"/>
        <v>#DIV/0!</v>
      </c>
    </row>
    <row r="33" spans="1:22" x14ac:dyDescent="0.3">
      <c r="A33" s="1">
        <v>37</v>
      </c>
      <c r="B33" s="1">
        <v>2</v>
      </c>
      <c r="C33" s="1">
        <v>22629854054</v>
      </c>
      <c r="D33" s="4" t="s">
        <v>126</v>
      </c>
      <c r="E33" t="s">
        <v>127</v>
      </c>
      <c r="F33" s="1">
        <v>11443</v>
      </c>
      <c r="G33" s="1">
        <v>243</v>
      </c>
      <c r="H33" s="5">
        <v>2.12E-2</v>
      </c>
      <c r="I33" s="1">
        <v>23</v>
      </c>
      <c r="J33" s="5">
        <v>9.4700000000000006E-2</v>
      </c>
      <c r="K33" s="3">
        <v>3.62</v>
      </c>
      <c r="L33" s="1">
        <v>27</v>
      </c>
      <c r="M33" s="3">
        <v>896.4</v>
      </c>
      <c r="N33" s="3">
        <v>83.25</v>
      </c>
      <c r="O33" s="5">
        <f t="shared" si="0"/>
        <v>9.2871485943775103E-2</v>
      </c>
      <c r="P33" s="4" t="s">
        <v>37</v>
      </c>
      <c r="Q33" s="4" t="s">
        <v>128</v>
      </c>
      <c r="R33" s="4">
        <v>1</v>
      </c>
      <c r="S33" s="5">
        <v>0.38400000000000001</v>
      </c>
      <c r="T33" s="3">
        <f t="shared" si="1"/>
        <v>310.85951999999997</v>
      </c>
      <c r="U33" s="5">
        <f t="shared" si="2"/>
        <v>0.34678661311914322</v>
      </c>
      <c r="V33" s="6">
        <f t="shared" si="3"/>
        <v>107.80192009664256</v>
      </c>
    </row>
    <row r="34" spans="1:22" x14ac:dyDescent="0.3">
      <c r="A34" s="1">
        <v>36</v>
      </c>
      <c r="B34" s="1">
        <v>2</v>
      </c>
      <c r="C34" s="1">
        <v>45257455937</v>
      </c>
      <c r="D34" s="4" t="s">
        <v>129</v>
      </c>
      <c r="E34" t="s">
        <v>130</v>
      </c>
      <c r="F34" s="1">
        <v>53019</v>
      </c>
      <c r="G34" s="1">
        <v>1191</v>
      </c>
      <c r="H34" s="5">
        <v>2.2499999999999999E-2</v>
      </c>
      <c r="I34" s="1">
        <v>47</v>
      </c>
      <c r="J34" s="5">
        <v>3.95E-2</v>
      </c>
      <c r="K34" s="3">
        <v>6.79</v>
      </c>
      <c r="L34" s="1">
        <v>51</v>
      </c>
      <c r="M34" s="3">
        <v>2367.9899999999998</v>
      </c>
      <c r="N34" s="3">
        <v>318.98</v>
      </c>
      <c r="O34" s="5">
        <f t="shared" ref="O34:O65" si="4">+N34/M34</f>
        <v>0.13470496074730048</v>
      </c>
      <c r="P34" s="4" t="s">
        <v>37</v>
      </c>
      <c r="Q34" s="4" t="s">
        <v>131</v>
      </c>
      <c r="R34" s="4">
        <v>1</v>
      </c>
      <c r="S34" s="5">
        <v>0.17699999999999999</v>
      </c>
      <c r="T34" s="3">
        <f t="shared" ref="T34:T65" si="5">+S34*(M34-N34-K34)</f>
        <v>361.47293999999994</v>
      </c>
      <c r="U34" s="5">
        <f t="shared" ref="U34:U65" si="6">+T34/M34</f>
        <v>0.15264969024362432</v>
      </c>
      <c r="V34" s="6">
        <f t="shared" ref="V34:V65" si="7">+T34*U34</f>
        <v>55.178732322452191</v>
      </c>
    </row>
    <row r="35" spans="1:22" x14ac:dyDescent="0.3">
      <c r="A35" s="1">
        <v>43</v>
      </c>
      <c r="B35" s="1">
        <v>2</v>
      </c>
      <c r="C35" s="1">
        <v>50807158309</v>
      </c>
      <c r="D35" s="4" t="s">
        <v>132</v>
      </c>
      <c r="E35" t="s">
        <v>133</v>
      </c>
      <c r="F35" s="1">
        <v>11702</v>
      </c>
      <c r="G35" s="1">
        <v>245</v>
      </c>
      <c r="H35" s="5">
        <v>2.0899999999999998E-2</v>
      </c>
      <c r="I35" s="1">
        <v>11</v>
      </c>
      <c r="J35" s="5">
        <v>4.4900000000000002E-2</v>
      </c>
      <c r="K35" s="3">
        <v>5.96</v>
      </c>
      <c r="L35" s="1">
        <v>12</v>
      </c>
      <c r="M35" s="3">
        <v>513.01</v>
      </c>
      <c r="N35" s="3">
        <v>65.52</v>
      </c>
      <c r="O35" s="5">
        <f t="shared" si="4"/>
        <v>0.12771680863920781</v>
      </c>
      <c r="P35" s="4" t="s">
        <v>37</v>
      </c>
      <c r="Q35" s="4" t="s">
        <v>134</v>
      </c>
      <c r="R35" s="4">
        <v>1</v>
      </c>
      <c r="S35" s="5">
        <v>0.20100000000000001</v>
      </c>
      <c r="T35" s="3">
        <f t="shared" si="5"/>
        <v>88.747530000000012</v>
      </c>
      <c r="U35" s="5">
        <f t="shared" si="6"/>
        <v>0.17299376230482838</v>
      </c>
      <c r="V35" s="6">
        <f t="shared" si="7"/>
        <v>15.352769109960628</v>
      </c>
    </row>
    <row r="36" spans="1:22" x14ac:dyDescent="0.3">
      <c r="A36" s="1">
        <v>46</v>
      </c>
      <c r="B36" s="1">
        <v>2</v>
      </c>
      <c r="C36" s="1">
        <v>58251764221</v>
      </c>
      <c r="D36" s="4" t="s">
        <v>135</v>
      </c>
      <c r="E36" t="s">
        <v>136</v>
      </c>
      <c r="F36" s="1">
        <v>4406</v>
      </c>
      <c r="G36" s="1">
        <v>61</v>
      </c>
      <c r="H36" s="5">
        <v>1.38E-2</v>
      </c>
      <c r="I36" s="1">
        <v>2</v>
      </c>
      <c r="J36" s="5">
        <v>3.2800000000000003E-2</v>
      </c>
      <c r="K36" s="3">
        <v>6.78</v>
      </c>
      <c r="L36" s="1">
        <v>2</v>
      </c>
      <c r="M36" s="3">
        <v>79.8</v>
      </c>
      <c r="N36" s="3">
        <v>13.57</v>
      </c>
      <c r="O36" s="5">
        <f t="shared" si="4"/>
        <v>0.17005012531328323</v>
      </c>
      <c r="P36" s="4" t="s">
        <v>37</v>
      </c>
      <c r="Q36" s="4" t="s">
        <v>137</v>
      </c>
      <c r="R36" s="4">
        <v>1</v>
      </c>
      <c r="S36" s="5">
        <v>0.16300000000000001</v>
      </c>
      <c r="T36" s="3">
        <f t="shared" si="5"/>
        <v>9.6903499999999987</v>
      </c>
      <c r="U36" s="5">
        <f t="shared" si="6"/>
        <v>0.1214329573934837</v>
      </c>
      <c r="V36" s="6">
        <f t="shared" si="7"/>
        <v>1.1767278586779446</v>
      </c>
    </row>
    <row r="37" spans="1:22" x14ac:dyDescent="0.3">
      <c r="A37" s="1">
        <v>38</v>
      </c>
      <c r="B37" s="1">
        <v>2</v>
      </c>
      <c r="C37" s="1">
        <v>23329850370</v>
      </c>
      <c r="D37" s="4" t="s">
        <v>51</v>
      </c>
      <c r="E37" t="s">
        <v>138</v>
      </c>
      <c r="F37" s="1">
        <v>12587</v>
      </c>
      <c r="G37" s="1">
        <v>286</v>
      </c>
      <c r="H37" s="5">
        <v>2.2700000000000001E-2</v>
      </c>
      <c r="I37" s="1">
        <v>13</v>
      </c>
      <c r="J37" s="5">
        <v>4.5499999999999999E-2</v>
      </c>
      <c r="K37" s="3">
        <v>4.91</v>
      </c>
      <c r="L37" s="1">
        <v>13</v>
      </c>
      <c r="M37" s="3">
        <v>769.71</v>
      </c>
      <c r="N37" s="3">
        <v>63.85</v>
      </c>
      <c r="O37" s="5">
        <f t="shared" si="4"/>
        <v>8.2953320081589163E-2</v>
      </c>
      <c r="P37" s="4" t="s">
        <v>37</v>
      </c>
      <c r="Q37" s="4" t="s">
        <v>55</v>
      </c>
      <c r="R37" s="4">
        <v>1</v>
      </c>
      <c r="S37" s="5">
        <v>0.311</v>
      </c>
      <c r="T37" s="3">
        <f t="shared" si="5"/>
        <v>217.99545000000001</v>
      </c>
      <c r="U37" s="5">
        <f t="shared" si="6"/>
        <v>0.28321764041002456</v>
      </c>
      <c r="V37" s="6">
        <f t="shared" si="7"/>
        <v>61.740156969121493</v>
      </c>
    </row>
    <row r="38" spans="1:22" x14ac:dyDescent="0.3">
      <c r="A38" s="1">
        <v>61</v>
      </c>
      <c r="B38" s="1">
        <v>2</v>
      </c>
      <c r="C38" s="1">
        <v>23792918193</v>
      </c>
      <c r="D38" s="4" t="s">
        <v>39</v>
      </c>
      <c r="E38" t="s">
        <v>139</v>
      </c>
      <c r="F38" s="1">
        <v>1861</v>
      </c>
      <c r="G38" s="1">
        <v>47</v>
      </c>
      <c r="H38" s="5">
        <v>2.53E-2</v>
      </c>
      <c r="I38" s="1">
        <v>2</v>
      </c>
      <c r="J38" s="5">
        <v>4.2599999999999999E-2</v>
      </c>
      <c r="K38" s="3">
        <v>4.1900000000000004</v>
      </c>
      <c r="L38" s="1">
        <v>2</v>
      </c>
      <c r="M38" s="3">
        <v>97.8</v>
      </c>
      <c r="N38" s="3">
        <v>8.3800000000000008</v>
      </c>
      <c r="O38" s="5">
        <f t="shared" si="4"/>
        <v>8.5685071574642141E-2</v>
      </c>
      <c r="P38" s="4" t="s">
        <v>26</v>
      </c>
      <c r="Q38" s="4" t="s">
        <v>26</v>
      </c>
      <c r="R38" s="4">
        <v>5</v>
      </c>
      <c r="S38" s="5">
        <v>0.34300000000000003</v>
      </c>
      <c r="T38" s="3">
        <f t="shared" si="5"/>
        <v>29.233890000000002</v>
      </c>
      <c r="U38" s="5">
        <f t="shared" si="6"/>
        <v>0.29891503067484665</v>
      </c>
      <c r="V38" s="6">
        <f t="shared" si="7"/>
        <v>8.7384491260950927</v>
      </c>
    </row>
    <row r="39" spans="1:22" x14ac:dyDescent="0.3">
      <c r="A39" s="1">
        <v>55</v>
      </c>
      <c r="B39" s="1">
        <v>2</v>
      </c>
      <c r="C39" s="1">
        <v>23997394407</v>
      </c>
      <c r="D39" s="4" t="s">
        <v>22</v>
      </c>
      <c r="E39" t="s">
        <v>140</v>
      </c>
      <c r="F39" s="1">
        <v>83138</v>
      </c>
      <c r="G39" s="1">
        <v>1707</v>
      </c>
      <c r="H39" s="5">
        <v>2.0500000000000001E-2</v>
      </c>
      <c r="I39" s="1">
        <v>86</v>
      </c>
      <c r="J39" s="5">
        <v>5.04E-2</v>
      </c>
      <c r="K39" s="3">
        <v>4.7699999999999996</v>
      </c>
      <c r="L39" s="1">
        <v>89</v>
      </c>
      <c r="M39" s="3">
        <v>5270.17</v>
      </c>
      <c r="N39" s="3">
        <v>410.6</v>
      </c>
      <c r="O39" s="5">
        <f t="shared" si="4"/>
        <v>7.7910200240219954E-2</v>
      </c>
      <c r="P39" s="4" t="s">
        <v>26</v>
      </c>
      <c r="Q39" s="4" t="s">
        <v>26</v>
      </c>
      <c r="R39" s="4">
        <v>10</v>
      </c>
      <c r="S39" s="5">
        <v>0.28100000000000003</v>
      </c>
      <c r="T39" s="3">
        <f t="shared" si="5"/>
        <v>1364.1987999999999</v>
      </c>
      <c r="U39" s="5">
        <f t="shared" si="6"/>
        <v>0.25885290227829461</v>
      </c>
      <c r="V39" s="6">
        <f t="shared" si="7"/>
        <v>353.12681866456671</v>
      </c>
    </row>
    <row r="40" spans="1:22" x14ac:dyDescent="0.3">
      <c r="A40" s="1">
        <v>54</v>
      </c>
      <c r="B40" s="1">
        <v>2</v>
      </c>
      <c r="C40" s="1">
        <v>22695573910</v>
      </c>
      <c r="D40" s="4" t="s">
        <v>22</v>
      </c>
      <c r="E40" t="s">
        <v>141</v>
      </c>
      <c r="F40" s="1">
        <v>90928</v>
      </c>
      <c r="G40" s="1">
        <v>2335</v>
      </c>
      <c r="H40" s="5">
        <v>2.5700000000000001E-2</v>
      </c>
      <c r="I40" s="1">
        <v>103</v>
      </c>
      <c r="J40" s="5">
        <v>4.41E-2</v>
      </c>
      <c r="K40" s="3">
        <v>5.0199999999999996</v>
      </c>
      <c r="L40" s="1">
        <v>110</v>
      </c>
      <c r="M40" s="3">
        <v>5934.2</v>
      </c>
      <c r="N40" s="3">
        <v>517.16999999999996</v>
      </c>
      <c r="O40" s="5">
        <f t="shared" si="4"/>
        <v>8.7150753260759661E-2</v>
      </c>
      <c r="P40" s="4" t="s">
        <v>26</v>
      </c>
      <c r="Q40" s="4" t="s">
        <v>26</v>
      </c>
      <c r="R40" s="4">
        <v>10</v>
      </c>
      <c r="S40" s="5">
        <v>0.28100000000000003</v>
      </c>
      <c r="T40" s="3">
        <f t="shared" si="5"/>
        <v>1520.7748099999999</v>
      </c>
      <c r="U40" s="5">
        <f t="shared" si="6"/>
        <v>0.25627292811162411</v>
      </c>
      <c r="V40" s="6">
        <f t="shared" si="7"/>
        <v>389.7334135570988</v>
      </c>
    </row>
    <row r="41" spans="1:22" x14ac:dyDescent="0.3">
      <c r="A41" s="1">
        <v>60</v>
      </c>
      <c r="B41" s="1">
        <v>2</v>
      </c>
      <c r="C41" s="1">
        <v>22395579066</v>
      </c>
      <c r="D41" s="4" t="s">
        <v>22</v>
      </c>
      <c r="E41" t="s">
        <v>142</v>
      </c>
      <c r="F41" s="1">
        <v>6192</v>
      </c>
      <c r="G41" s="1">
        <v>141</v>
      </c>
      <c r="H41" s="5">
        <v>2.2800000000000001E-2</v>
      </c>
      <c r="I41" s="1">
        <v>2</v>
      </c>
      <c r="J41" s="5">
        <v>1.4200000000000001E-2</v>
      </c>
      <c r="K41" s="3">
        <v>15.63</v>
      </c>
      <c r="L41" s="1">
        <v>2</v>
      </c>
      <c r="M41" s="3">
        <v>139.80000000000001</v>
      </c>
      <c r="N41" s="3">
        <v>31.26</v>
      </c>
      <c r="O41" s="5">
        <f t="shared" si="4"/>
        <v>0.22360515021459226</v>
      </c>
      <c r="P41" s="4" t="s">
        <v>26</v>
      </c>
      <c r="Q41" s="4" t="s">
        <v>26</v>
      </c>
      <c r="R41" s="4">
        <v>10</v>
      </c>
      <c r="S41" s="5">
        <v>0.28100000000000003</v>
      </c>
      <c r="T41" s="3">
        <f t="shared" si="5"/>
        <v>26.107710000000004</v>
      </c>
      <c r="U41" s="5">
        <f t="shared" si="6"/>
        <v>0.18675042918454937</v>
      </c>
      <c r="V41" s="6">
        <f t="shared" si="7"/>
        <v>4.8756260475257527</v>
      </c>
    </row>
    <row r="42" spans="1:22" x14ac:dyDescent="0.3">
      <c r="A42" s="1">
        <v>45</v>
      </c>
      <c r="B42" s="1">
        <v>2</v>
      </c>
      <c r="C42" s="1">
        <v>22792693512</v>
      </c>
      <c r="D42" s="4" t="s">
        <v>33</v>
      </c>
      <c r="E42" t="s">
        <v>143</v>
      </c>
      <c r="F42" s="1">
        <v>7445</v>
      </c>
      <c r="G42" s="1">
        <v>171</v>
      </c>
      <c r="H42" s="5">
        <v>2.3E-2</v>
      </c>
      <c r="I42" s="1">
        <v>6</v>
      </c>
      <c r="J42" s="5">
        <v>3.5099999999999999E-2</v>
      </c>
      <c r="K42" s="3">
        <v>9.2799999999999994</v>
      </c>
      <c r="L42" s="1">
        <v>6</v>
      </c>
      <c r="M42" s="3">
        <v>213.36</v>
      </c>
      <c r="N42" s="3">
        <v>55.67</v>
      </c>
      <c r="O42" s="5">
        <f t="shared" si="4"/>
        <v>0.26092050993625798</v>
      </c>
      <c r="P42" s="4" t="s">
        <v>37</v>
      </c>
      <c r="Q42" s="4" t="s">
        <v>38</v>
      </c>
      <c r="R42" s="4">
        <v>2</v>
      </c>
      <c r="S42" s="5">
        <v>0.40699999999999997</v>
      </c>
      <c r="T42" s="3">
        <f t="shared" si="5"/>
        <v>60.402869999999993</v>
      </c>
      <c r="U42" s="5">
        <f t="shared" si="6"/>
        <v>0.2831030652418447</v>
      </c>
      <c r="V42" s="6">
        <f t="shared" si="7"/>
        <v>17.100237646404661</v>
      </c>
    </row>
    <row r="43" spans="1:22" x14ac:dyDescent="0.3">
      <c r="A43" s="1">
        <v>39</v>
      </c>
      <c r="B43" s="1">
        <v>2</v>
      </c>
      <c r="C43" s="1">
        <v>22194438407</v>
      </c>
      <c r="D43" s="4" t="s">
        <v>105</v>
      </c>
      <c r="E43" t="s">
        <v>144</v>
      </c>
      <c r="F43" s="1">
        <v>9427</v>
      </c>
      <c r="G43" s="1">
        <v>181</v>
      </c>
      <c r="H43" s="5">
        <v>1.9199999999999998E-2</v>
      </c>
      <c r="I43" s="1">
        <v>14</v>
      </c>
      <c r="J43" s="5">
        <v>7.7299999999999994E-2</v>
      </c>
      <c r="K43" s="3">
        <v>5.32</v>
      </c>
      <c r="L43" s="1">
        <v>14</v>
      </c>
      <c r="M43" s="3">
        <v>757.08</v>
      </c>
      <c r="N43" s="3">
        <v>74.45</v>
      </c>
      <c r="O43" s="5">
        <f t="shared" si="4"/>
        <v>9.8338352617953192E-2</v>
      </c>
      <c r="P43" s="4" t="s">
        <v>37</v>
      </c>
      <c r="Q43" s="4" t="s">
        <v>72</v>
      </c>
      <c r="R43" s="4">
        <v>2</v>
      </c>
      <c r="S43" s="5">
        <v>0.17699999999999999</v>
      </c>
      <c r="T43" s="3">
        <f t="shared" si="5"/>
        <v>119.88386999999999</v>
      </c>
      <c r="U43" s="5">
        <f t="shared" si="6"/>
        <v>0.15835033285782213</v>
      </c>
      <c r="V43" s="6">
        <f t="shared" si="7"/>
        <v>18.983650718783874</v>
      </c>
    </row>
    <row r="44" spans="1:22" x14ac:dyDescent="0.3">
      <c r="A44" s="1">
        <v>47</v>
      </c>
      <c r="B44" s="1">
        <v>2</v>
      </c>
      <c r="C44" s="1">
        <v>22194735251</v>
      </c>
      <c r="D44" s="4" t="s">
        <v>135</v>
      </c>
      <c r="E44" t="s">
        <v>145</v>
      </c>
      <c r="F44" s="1">
        <v>1961</v>
      </c>
      <c r="G44" s="1">
        <v>23</v>
      </c>
      <c r="H44" s="5">
        <v>1.17E-2</v>
      </c>
      <c r="I44" s="1">
        <v>1</v>
      </c>
      <c r="J44" s="5">
        <v>4.3499999999999997E-2</v>
      </c>
      <c r="K44" s="3">
        <v>4.0999999999999996</v>
      </c>
      <c r="L44" s="1">
        <v>1</v>
      </c>
      <c r="M44" s="3">
        <v>69.900000000000006</v>
      </c>
      <c r="N44" s="3">
        <v>4.0999999999999996</v>
      </c>
      <c r="O44" s="5">
        <f t="shared" si="4"/>
        <v>5.865522174535049E-2</v>
      </c>
      <c r="P44" s="4" t="s">
        <v>37</v>
      </c>
      <c r="Q44" s="4" t="s">
        <v>137</v>
      </c>
      <c r="R44" s="4">
        <v>2</v>
      </c>
      <c r="S44" s="5">
        <v>0.186</v>
      </c>
      <c r="T44" s="3">
        <f t="shared" si="5"/>
        <v>11.476200000000002</v>
      </c>
      <c r="U44" s="5">
        <f t="shared" si="6"/>
        <v>0.16418025751072962</v>
      </c>
      <c r="V44" s="6">
        <f t="shared" si="7"/>
        <v>1.8841654712446356</v>
      </c>
    </row>
    <row r="45" spans="1:22" x14ac:dyDescent="0.3">
      <c r="A45" s="1">
        <v>44</v>
      </c>
      <c r="B45" s="1">
        <v>2</v>
      </c>
      <c r="C45" s="1">
        <v>23829845447</v>
      </c>
      <c r="D45" s="4" t="s">
        <v>33</v>
      </c>
      <c r="E45" t="s">
        <v>146</v>
      </c>
      <c r="F45" s="1">
        <v>4163</v>
      </c>
      <c r="G45" s="1">
        <v>60</v>
      </c>
      <c r="H45" s="5">
        <v>1.44E-2</v>
      </c>
      <c r="I45" s="1">
        <v>5</v>
      </c>
      <c r="J45" s="5">
        <v>8.3299999999999999E-2</v>
      </c>
      <c r="K45" s="3">
        <v>6.01</v>
      </c>
      <c r="L45" s="1">
        <v>5</v>
      </c>
      <c r="M45" s="3">
        <v>214.46</v>
      </c>
      <c r="N45" s="3">
        <v>30.07</v>
      </c>
      <c r="O45" s="5">
        <f t="shared" si="4"/>
        <v>0.14021262706332183</v>
      </c>
      <c r="P45" s="4" t="s">
        <v>37</v>
      </c>
      <c r="Q45" s="4" t="s">
        <v>38</v>
      </c>
      <c r="R45" s="4">
        <v>2</v>
      </c>
      <c r="S45" s="5">
        <v>0.40699999999999997</v>
      </c>
      <c r="T45" s="3">
        <f t="shared" si="5"/>
        <v>72.600660000000005</v>
      </c>
      <c r="U45" s="5">
        <f t="shared" si="6"/>
        <v>0.33852774410146413</v>
      </c>
      <c r="V45" s="6">
        <f t="shared" si="7"/>
        <v>24.577337650077403</v>
      </c>
    </row>
    <row r="46" spans="1:22" x14ac:dyDescent="0.3">
      <c r="A46" s="1">
        <v>49</v>
      </c>
      <c r="B46" s="1">
        <v>2</v>
      </c>
      <c r="C46" s="1">
        <v>22792693513</v>
      </c>
      <c r="D46" s="4" t="s">
        <v>33</v>
      </c>
      <c r="E46" t="s">
        <v>147</v>
      </c>
      <c r="F46" s="1">
        <v>2299</v>
      </c>
      <c r="G46" s="1">
        <v>48</v>
      </c>
      <c r="H46" s="5">
        <v>2.0899999999999998E-2</v>
      </c>
      <c r="I46" s="1">
        <v>1</v>
      </c>
      <c r="J46" s="5">
        <v>2.0799999999999999E-2</v>
      </c>
      <c r="K46" s="3">
        <v>5.73</v>
      </c>
      <c r="L46" s="1">
        <v>1</v>
      </c>
      <c r="M46" s="3">
        <v>36.9</v>
      </c>
      <c r="N46" s="3">
        <v>5.73</v>
      </c>
      <c r="O46" s="5">
        <f t="shared" si="4"/>
        <v>0.15528455284552847</v>
      </c>
      <c r="P46" s="4" t="s">
        <v>37</v>
      </c>
      <c r="Q46" s="4" t="s">
        <v>38</v>
      </c>
      <c r="R46" s="4">
        <v>2</v>
      </c>
      <c r="S46" s="5">
        <v>0.40699999999999997</v>
      </c>
      <c r="T46" s="3">
        <f t="shared" si="5"/>
        <v>10.354079999999998</v>
      </c>
      <c r="U46" s="5">
        <f t="shared" si="6"/>
        <v>0.28059837398373977</v>
      </c>
      <c r="V46" s="6">
        <f t="shared" si="7"/>
        <v>2.9053380120975598</v>
      </c>
    </row>
    <row r="47" spans="1:22" x14ac:dyDescent="0.3">
      <c r="A47" s="1">
        <v>42</v>
      </c>
      <c r="B47" s="1">
        <v>2</v>
      </c>
      <c r="C47" s="1">
        <v>23194341263</v>
      </c>
      <c r="D47" s="4" t="s">
        <v>33</v>
      </c>
      <c r="E47" t="s">
        <v>148</v>
      </c>
      <c r="F47" s="1">
        <v>5237</v>
      </c>
      <c r="G47" s="1">
        <v>90</v>
      </c>
      <c r="H47" s="5">
        <v>1.72E-2</v>
      </c>
      <c r="I47" s="1">
        <v>9</v>
      </c>
      <c r="J47" s="5">
        <v>0.1</v>
      </c>
      <c r="K47" s="3">
        <v>5.07</v>
      </c>
      <c r="L47" s="1">
        <v>10</v>
      </c>
      <c r="M47" s="3">
        <v>531.42999999999995</v>
      </c>
      <c r="N47" s="3">
        <v>45.61</v>
      </c>
      <c r="O47" s="5">
        <f t="shared" si="4"/>
        <v>8.5825038104736281E-2</v>
      </c>
      <c r="P47" s="4" t="s">
        <v>37</v>
      </c>
      <c r="Q47" s="4" t="s">
        <v>38</v>
      </c>
      <c r="R47" s="4">
        <v>3</v>
      </c>
      <c r="S47" s="5">
        <v>0.26400000000000001</v>
      </c>
      <c r="T47" s="3">
        <f t="shared" si="5"/>
        <v>126.91799999999999</v>
      </c>
      <c r="U47" s="5">
        <f t="shared" si="6"/>
        <v>0.23882355154959262</v>
      </c>
      <c r="V47" s="6">
        <f t="shared" si="7"/>
        <v>30.311007515571195</v>
      </c>
    </row>
    <row r="48" spans="1:22" x14ac:dyDescent="0.3">
      <c r="A48" s="1">
        <v>48</v>
      </c>
      <c r="B48" s="1">
        <v>2</v>
      </c>
      <c r="C48" s="1">
        <v>51956439915</v>
      </c>
      <c r="D48" s="4" t="s">
        <v>129</v>
      </c>
      <c r="E48" t="s">
        <v>149</v>
      </c>
      <c r="F48" s="1">
        <v>3071</v>
      </c>
      <c r="G48" s="1">
        <v>41</v>
      </c>
      <c r="H48" s="5">
        <v>1.34E-2</v>
      </c>
      <c r="I48" s="1">
        <v>1</v>
      </c>
      <c r="J48" s="5">
        <v>2.4400000000000002E-2</v>
      </c>
      <c r="K48" s="3">
        <v>12.16</v>
      </c>
      <c r="L48" s="1">
        <v>1</v>
      </c>
      <c r="M48" s="3">
        <v>64.900000000000006</v>
      </c>
      <c r="N48" s="3">
        <v>12.16</v>
      </c>
      <c r="O48" s="5">
        <f t="shared" si="4"/>
        <v>0.18736517719568566</v>
      </c>
      <c r="P48" s="4" t="s">
        <v>37</v>
      </c>
      <c r="Q48" s="4" t="s">
        <v>131</v>
      </c>
      <c r="R48" s="4">
        <v>3</v>
      </c>
      <c r="S48" s="5">
        <v>0.26400000000000001</v>
      </c>
      <c r="T48" s="3">
        <f t="shared" si="5"/>
        <v>10.713120000000004</v>
      </c>
      <c r="U48" s="5">
        <f t="shared" si="6"/>
        <v>0.165071186440678</v>
      </c>
      <c r="V48" s="6">
        <f t="shared" si="7"/>
        <v>1.7684274288813568</v>
      </c>
    </row>
    <row r="49" spans="1:22" x14ac:dyDescent="0.3">
      <c r="A49" s="1">
        <v>41</v>
      </c>
      <c r="B49" s="1">
        <v>2</v>
      </c>
      <c r="C49" s="1">
        <v>22492098258</v>
      </c>
      <c r="D49" s="4" t="s">
        <v>33</v>
      </c>
      <c r="E49" t="s">
        <v>150</v>
      </c>
      <c r="F49" s="1">
        <v>10832</v>
      </c>
      <c r="G49" s="1">
        <v>174</v>
      </c>
      <c r="H49" s="5">
        <v>1.61E-2</v>
      </c>
      <c r="I49" s="1">
        <v>11</v>
      </c>
      <c r="J49" s="5">
        <v>6.3200000000000006E-2</v>
      </c>
      <c r="K49" s="3">
        <v>6.86</v>
      </c>
      <c r="L49" s="1">
        <v>11</v>
      </c>
      <c r="M49" s="3">
        <v>658.81</v>
      </c>
      <c r="N49" s="3">
        <v>75.48</v>
      </c>
      <c r="O49" s="5">
        <f t="shared" si="4"/>
        <v>0.11457020992395381</v>
      </c>
      <c r="P49" s="4" t="s">
        <v>37</v>
      </c>
      <c r="Q49" s="4" t="s">
        <v>38</v>
      </c>
      <c r="R49" s="4">
        <v>4</v>
      </c>
      <c r="S49" s="5">
        <v>0.376</v>
      </c>
      <c r="T49" s="3">
        <f t="shared" si="5"/>
        <v>216.75271999999995</v>
      </c>
      <c r="U49" s="5">
        <f t="shared" si="6"/>
        <v>0.32900642066756725</v>
      </c>
      <c r="V49" s="6">
        <f t="shared" si="7"/>
        <v>71.313036577159394</v>
      </c>
    </row>
    <row r="50" spans="1:22" x14ac:dyDescent="0.3">
      <c r="A50" s="1">
        <v>34</v>
      </c>
      <c r="B50" s="1">
        <v>2</v>
      </c>
      <c r="C50" s="1">
        <v>21697638799</v>
      </c>
      <c r="D50" s="4" t="s">
        <v>33</v>
      </c>
      <c r="E50" t="s">
        <v>151</v>
      </c>
      <c r="F50" s="1">
        <v>40015</v>
      </c>
      <c r="G50" s="1">
        <v>692</v>
      </c>
      <c r="H50" s="5">
        <v>1.7299999999999999E-2</v>
      </c>
      <c r="I50" s="1">
        <v>72</v>
      </c>
      <c r="J50" s="5">
        <v>0.104</v>
      </c>
      <c r="K50" s="3">
        <v>4.9800000000000004</v>
      </c>
      <c r="L50" s="1">
        <v>76</v>
      </c>
      <c r="M50" s="3">
        <v>4396.21</v>
      </c>
      <c r="N50" s="3">
        <v>358.47</v>
      </c>
      <c r="O50" s="5">
        <f t="shared" si="4"/>
        <v>8.1540690731334492E-2</v>
      </c>
      <c r="P50" s="4" t="s">
        <v>37</v>
      </c>
      <c r="Q50" s="4" t="s">
        <v>38</v>
      </c>
      <c r="R50" s="4">
        <v>4</v>
      </c>
      <c r="S50" s="5">
        <v>0.376</v>
      </c>
      <c r="T50" s="3">
        <f t="shared" si="5"/>
        <v>1516.3177599999999</v>
      </c>
      <c r="U50" s="5">
        <f t="shared" si="6"/>
        <v>0.34491476976759522</v>
      </c>
      <c r="V50" s="6">
        <f t="shared" si="7"/>
        <v>523.00039108491569</v>
      </c>
    </row>
    <row r="51" spans="1:22" x14ac:dyDescent="0.3">
      <c r="A51" s="1">
        <v>33</v>
      </c>
      <c r="B51" s="1">
        <v>2</v>
      </c>
      <c r="C51" s="1">
        <v>23497184477</v>
      </c>
      <c r="D51" s="4" t="s">
        <v>33</v>
      </c>
      <c r="E51" t="s">
        <v>152</v>
      </c>
      <c r="F51" s="1">
        <v>80943</v>
      </c>
      <c r="G51" s="1">
        <v>1428</v>
      </c>
      <c r="H51" s="5">
        <v>1.7600000000000001E-2</v>
      </c>
      <c r="I51" s="1">
        <v>192</v>
      </c>
      <c r="J51" s="5">
        <v>0.13450000000000001</v>
      </c>
      <c r="K51" s="3">
        <v>4.96</v>
      </c>
      <c r="L51" s="1">
        <v>198</v>
      </c>
      <c r="M51" s="3">
        <v>10956.53</v>
      </c>
      <c r="N51" s="3">
        <v>952.4</v>
      </c>
      <c r="O51" s="5">
        <f t="shared" si="4"/>
        <v>8.6925331286456561E-2</v>
      </c>
      <c r="P51" s="4" t="s">
        <v>37</v>
      </c>
      <c r="Q51" s="4" t="s">
        <v>38</v>
      </c>
      <c r="R51" s="4">
        <v>4</v>
      </c>
      <c r="S51" s="5">
        <v>0.376</v>
      </c>
      <c r="T51" s="3">
        <f t="shared" si="5"/>
        <v>3759.6879200000008</v>
      </c>
      <c r="U51" s="5">
        <f t="shared" si="6"/>
        <v>0.34314586096145411</v>
      </c>
      <c r="V51" s="6">
        <f t="shared" si="7"/>
        <v>1290.1213482547789</v>
      </c>
    </row>
    <row r="52" spans="1:22" x14ac:dyDescent="0.3">
      <c r="A52" s="1">
        <v>35</v>
      </c>
      <c r="B52" s="1">
        <v>2</v>
      </c>
      <c r="C52" s="1">
        <v>18799097725</v>
      </c>
      <c r="D52" s="4" t="s">
        <v>33</v>
      </c>
      <c r="E52" t="s">
        <v>153</v>
      </c>
      <c r="F52" s="1">
        <v>32056</v>
      </c>
      <c r="G52" s="1">
        <v>595</v>
      </c>
      <c r="H52" s="5">
        <v>1.8599999999999998E-2</v>
      </c>
      <c r="I52" s="1">
        <v>55</v>
      </c>
      <c r="J52" s="5">
        <v>9.2399999999999996E-2</v>
      </c>
      <c r="K52" s="3">
        <v>7.06</v>
      </c>
      <c r="L52" s="1">
        <v>58</v>
      </c>
      <c r="M52" s="3">
        <v>3161.75</v>
      </c>
      <c r="N52" s="3">
        <v>388.53</v>
      </c>
      <c r="O52" s="5">
        <f t="shared" si="4"/>
        <v>0.12288447853245828</v>
      </c>
      <c r="P52" s="4" t="s">
        <v>37</v>
      </c>
      <c r="Q52" s="4" t="s">
        <v>38</v>
      </c>
      <c r="R52" s="4">
        <v>4</v>
      </c>
      <c r="S52" s="5">
        <v>0.376</v>
      </c>
      <c r="T52" s="3">
        <f t="shared" si="5"/>
        <v>1040.0761600000001</v>
      </c>
      <c r="U52" s="5">
        <f t="shared" si="6"/>
        <v>0.32895585039930419</v>
      </c>
      <c r="V52" s="6">
        <f t="shared" si="7"/>
        <v>342.13913769284278</v>
      </c>
    </row>
    <row r="53" spans="1:22" x14ac:dyDescent="0.3">
      <c r="A53" s="1">
        <v>50</v>
      </c>
      <c r="B53" s="1">
        <v>2</v>
      </c>
      <c r="C53" s="1">
        <v>18799097700</v>
      </c>
      <c r="D53" s="4" t="s">
        <v>33</v>
      </c>
      <c r="E53" t="s">
        <v>154</v>
      </c>
      <c r="F53" s="1">
        <v>2349</v>
      </c>
      <c r="G53" s="1">
        <v>21</v>
      </c>
      <c r="H53" s="5">
        <v>8.8999999999999999E-3</v>
      </c>
      <c r="I53" s="1">
        <v>0</v>
      </c>
      <c r="J53" s="5">
        <v>0</v>
      </c>
      <c r="K53" s="3">
        <v>0</v>
      </c>
      <c r="L53" s="1">
        <v>0</v>
      </c>
      <c r="M53" s="3">
        <v>0</v>
      </c>
      <c r="N53" s="3">
        <v>3.9</v>
      </c>
      <c r="O53" s="5" t="e">
        <f t="shared" si="4"/>
        <v>#DIV/0!</v>
      </c>
      <c r="P53" s="4" t="s">
        <v>37</v>
      </c>
      <c r="Q53" s="4" t="s">
        <v>38</v>
      </c>
      <c r="R53" s="4">
        <v>4</v>
      </c>
      <c r="S53" s="5">
        <v>0.376</v>
      </c>
      <c r="T53" s="3">
        <f t="shared" si="5"/>
        <v>-1.4663999999999999</v>
      </c>
      <c r="U53" s="5" t="e">
        <f t="shared" si="6"/>
        <v>#DIV/0!</v>
      </c>
      <c r="V53" s="6" t="e">
        <f t="shared" si="7"/>
        <v>#DIV/0!</v>
      </c>
    </row>
    <row r="54" spans="1:22" x14ac:dyDescent="0.3">
      <c r="A54" s="1">
        <v>52</v>
      </c>
      <c r="B54" s="1">
        <v>2</v>
      </c>
      <c r="C54" s="1">
        <v>22129854160</v>
      </c>
      <c r="D54" s="4" t="s">
        <v>51</v>
      </c>
      <c r="E54" t="s">
        <v>155</v>
      </c>
      <c r="F54" s="1">
        <v>1281</v>
      </c>
      <c r="G54" s="1">
        <v>12</v>
      </c>
      <c r="H54" s="5">
        <v>9.4000000000000004E-3</v>
      </c>
      <c r="I54" s="1">
        <v>0</v>
      </c>
      <c r="J54" s="5">
        <v>0</v>
      </c>
      <c r="K54" s="3">
        <v>0</v>
      </c>
      <c r="L54" s="1">
        <v>0</v>
      </c>
      <c r="M54" s="3">
        <v>0</v>
      </c>
      <c r="N54" s="3">
        <v>14.07</v>
      </c>
      <c r="O54" s="5" t="e">
        <f t="shared" si="4"/>
        <v>#DIV/0!</v>
      </c>
      <c r="P54" s="4" t="s">
        <v>37</v>
      </c>
      <c r="Q54" s="4" t="s">
        <v>55</v>
      </c>
      <c r="R54" s="4">
        <v>5</v>
      </c>
      <c r="S54" s="5">
        <v>0.29699999999999999</v>
      </c>
      <c r="T54" s="3">
        <f t="shared" si="5"/>
        <v>-4.1787900000000002</v>
      </c>
      <c r="U54" s="5" t="e">
        <f t="shared" si="6"/>
        <v>#DIV/0!</v>
      </c>
      <c r="V54" s="6" t="e">
        <f t="shared" si="7"/>
        <v>#DIV/0!</v>
      </c>
    </row>
    <row r="55" spans="1:22" x14ac:dyDescent="0.3">
      <c r="A55" s="1">
        <v>58</v>
      </c>
      <c r="B55" s="1">
        <v>2</v>
      </c>
      <c r="C55" s="1">
        <v>19699233607</v>
      </c>
      <c r="D55" s="4" t="s">
        <v>156</v>
      </c>
      <c r="E55" t="s">
        <v>157</v>
      </c>
      <c r="F55" s="1">
        <v>7311</v>
      </c>
      <c r="G55" s="1">
        <v>201</v>
      </c>
      <c r="H55" s="5">
        <v>2.75E-2</v>
      </c>
      <c r="I55" s="1">
        <v>6</v>
      </c>
      <c r="J55" s="5">
        <v>2.9899999999999999E-2</v>
      </c>
      <c r="K55" s="3">
        <v>4.9800000000000004</v>
      </c>
      <c r="L55" s="1">
        <v>6</v>
      </c>
      <c r="M55" s="3">
        <v>275.39999999999998</v>
      </c>
      <c r="N55" s="3">
        <v>29.86</v>
      </c>
      <c r="O55" s="5">
        <f t="shared" si="4"/>
        <v>0.1084241103848947</v>
      </c>
      <c r="P55" s="4" t="s">
        <v>26</v>
      </c>
      <c r="Q55" s="4" t="s">
        <v>26</v>
      </c>
      <c r="R55" s="4">
        <v>5</v>
      </c>
      <c r="S55" s="5">
        <v>0.34300000000000003</v>
      </c>
      <c r="T55" s="3">
        <f t="shared" si="5"/>
        <v>82.512079999999997</v>
      </c>
      <c r="U55" s="5">
        <f t="shared" si="6"/>
        <v>0.29960813362381994</v>
      </c>
      <c r="V55" s="6">
        <f t="shared" si="7"/>
        <v>24.721290290219319</v>
      </c>
    </row>
    <row r="56" spans="1:22" x14ac:dyDescent="0.3">
      <c r="A56" s="1">
        <v>57</v>
      </c>
      <c r="B56" s="1">
        <v>2</v>
      </c>
      <c r="C56" s="1">
        <v>22397421387</v>
      </c>
      <c r="D56" s="4" t="s">
        <v>156</v>
      </c>
      <c r="E56" t="s">
        <v>158</v>
      </c>
      <c r="F56" s="1">
        <v>7889</v>
      </c>
      <c r="G56" s="1">
        <v>219</v>
      </c>
      <c r="H56" s="5">
        <v>2.7799999999999998E-2</v>
      </c>
      <c r="I56" s="1">
        <v>8</v>
      </c>
      <c r="J56" s="5">
        <v>3.6499999999999998E-2</v>
      </c>
      <c r="K56" s="3">
        <v>4.72</v>
      </c>
      <c r="L56" s="1">
        <v>8</v>
      </c>
      <c r="M56" s="3">
        <v>391.2</v>
      </c>
      <c r="N56" s="3">
        <v>37.74</v>
      </c>
      <c r="O56" s="5">
        <f t="shared" si="4"/>
        <v>9.6472392638036822E-2</v>
      </c>
      <c r="P56" s="4" t="s">
        <v>26</v>
      </c>
      <c r="Q56" s="4" t="s">
        <v>26</v>
      </c>
      <c r="R56" s="4">
        <v>5</v>
      </c>
      <c r="S56" s="5">
        <v>0.34300000000000003</v>
      </c>
      <c r="T56" s="3">
        <f t="shared" si="5"/>
        <v>119.61781999999999</v>
      </c>
      <c r="U56" s="5">
        <f t="shared" si="6"/>
        <v>0.3057715235173824</v>
      </c>
      <c r="V56" s="6">
        <f t="shared" si="7"/>
        <v>36.575723061228011</v>
      </c>
    </row>
    <row r="57" spans="1:22" x14ac:dyDescent="0.3">
      <c r="A57" s="1">
        <v>53</v>
      </c>
      <c r="B57" s="1">
        <v>2</v>
      </c>
      <c r="C57" s="1">
        <v>23797453001</v>
      </c>
      <c r="D57" s="4" t="s">
        <v>156</v>
      </c>
      <c r="E57" t="s">
        <v>159</v>
      </c>
      <c r="F57" s="1">
        <v>110172</v>
      </c>
      <c r="G57" s="1">
        <v>3156</v>
      </c>
      <c r="H57" s="5">
        <v>2.86E-2</v>
      </c>
      <c r="I57" s="1">
        <v>195</v>
      </c>
      <c r="J57" s="5">
        <v>6.1800000000000001E-2</v>
      </c>
      <c r="K57" s="3">
        <v>2.46</v>
      </c>
      <c r="L57" s="1">
        <v>197</v>
      </c>
      <c r="M57" s="3">
        <v>7899.81</v>
      </c>
      <c r="N57" s="3">
        <v>478.87</v>
      </c>
      <c r="O57" s="5">
        <f t="shared" si="4"/>
        <v>6.0617913595390267E-2</v>
      </c>
      <c r="P57" s="4" t="s">
        <v>26</v>
      </c>
      <c r="Q57" s="4" t="s">
        <v>26</v>
      </c>
      <c r="R57" s="4">
        <v>5</v>
      </c>
      <c r="S57" s="5">
        <v>0.34300000000000003</v>
      </c>
      <c r="T57" s="3">
        <f t="shared" si="5"/>
        <v>2544.5386400000002</v>
      </c>
      <c r="U57" s="5">
        <f t="shared" si="6"/>
        <v>0.3221012454729924</v>
      </c>
      <c r="V57" s="6">
        <f t="shared" si="7"/>
        <v>819.59906509815437</v>
      </c>
    </row>
    <row r="58" spans="1:22" x14ac:dyDescent="0.3">
      <c r="A58" s="1">
        <v>51</v>
      </c>
      <c r="B58" s="1">
        <v>2</v>
      </c>
      <c r="C58" s="1">
        <v>23096327314</v>
      </c>
      <c r="D58" s="4" t="s">
        <v>43</v>
      </c>
      <c r="E58" t="s">
        <v>160</v>
      </c>
      <c r="F58" s="1">
        <v>1969</v>
      </c>
      <c r="G58" s="1">
        <v>11</v>
      </c>
      <c r="H58" s="5">
        <v>5.5999999999999999E-3</v>
      </c>
      <c r="I58" s="1">
        <v>0</v>
      </c>
      <c r="J58" s="5">
        <v>0</v>
      </c>
      <c r="K58" s="3">
        <v>0</v>
      </c>
      <c r="L58" s="1">
        <v>0</v>
      </c>
      <c r="M58" s="3">
        <v>0</v>
      </c>
      <c r="N58" s="3">
        <v>23.45</v>
      </c>
      <c r="O58" s="5" t="e">
        <f t="shared" si="4"/>
        <v>#DIV/0!</v>
      </c>
      <c r="P58" s="4" t="s">
        <v>37</v>
      </c>
      <c r="Q58" s="4" t="s">
        <v>47</v>
      </c>
      <c r="R58" s="4">
        <v>7</v>
      </c>
      <c r="S58" s="5">
        <v>0.35</v>
      </c>
      <c r="T58" s="3">
        <f t="shared" si="5"/>
        <v>-8.2074999999999996</v>
      </c>
      <c r="U58" s="5" t="e">
        <f t="shared" si="6"/>
        <v>#DIV/0!</v>
      </c>
      <c r="V58" s="6" t="e">
        <f t="shared" si="7"/>
        <v>#DIV/0!</v>
      </c>
    </row>
    <row r="59" spans="1:22" x14ac:dyDescent="0.3">
      <c r="A59" s="1">
        <v>56</v>
      </c>
      <c r="B59" s="1">
        <v>2</v>
      </c>
      <c r="C59" s="1">
        <v>20699227781</v>
      </c>
      <c r="D59" s="4" t="s">
        <v>161</v>
      </c>
      <c r="E59" t="s">
        <v>162</v>
      </c>
      <c r="F59" s="1">
        <v>62208</v>
      </c>
      <c r="G59" s="1">
        <v>1572</v>
      </c>
      <c r="H59" s="5">
        <v>2.53E-2</v>
      </c>
      <c r="I59" s="1">
        <v>88</v>
      </c>
      <c r="J59" s="5">
        <v>5.6000000000000001E-2</v>
      </c>
      <c r="K59" s="3">
        <v>3.91</v>
      </c>
      <c r="L59" s="1">
        <v>88</v>
      </c>
      <c r="M59" s="3">
        <v>4084.32</v>
      </c>
      <c r="N59" s="3">
        <v>344</v>
      </c>
      <c r="O59" s="5">
        <f t="shared" si="4"/>
        <v>8.4224546558545846E-2</v>
      </c>
      <c r="P59" s="4" t="s">
        <v>26</v>
      </c>
      <c r="Q59" s="4" t="s">
        <v>26</v>
      </c>
      <c r="R59" s="4">
        <v>1</v>
      </c>
      <c r="S59" s="5">
        <v>0.3</v>
      </c>
      <c r="T59" s="3">
        <f t="shared" si="5"/>
        <v>1120.923</v>
      </c>
      <c r="U59" s="5">
        <f t="shared" si="6"/>
        <v>0.27444544012222349</v>
      </c>
      <c r="V59" s="6">
        <f t="shared" si="7"/>
        <v>307.63220607812315</v>
      </c>
    </row>
    <row r="60" spans="1:22" x14ac:dyDescent="0.3">
      <c r="A60" s="1">
        <v>63</v>
      </c>
      <c r="B60" s="1">
        <v>3</v>
      </c>
      <c r="C60" s="1">
        <v>22792913222</v>
      </c>
      <c r="D60" s="4" t="s">
        <v>43</v>
      </c>
      <c r="E60" t="s">
        <v>163</v>
      </c>
      <c r="F60" s="1">
        <v>29342</v>
      </c>
      <c r="G60" s="1">
        <v>590</v>
      </c>
      <c r="H60" s="5">
        <v>2.01E-2</v>
      </c>
      <c r="I60" s="1">
        <v>34</v>
      </c>
      <c r="J60" s="5">
        <v>5.7599999999999998E-2</v>
      </c>
      <c r="K60" s="3">
        <v>5.61</v>
      </c>
      <c r="L60" s="1">
        <v>37</v>
      </c>
      <c r="M60" s="3">
        <v>2389.3000000000002</v>
      </c>
      <c r="N60" s="3">
        <v>190.81</v>
      </c>
      <c r="O60" s="5">
        <f t="shared" si="4"/>
        <v>7.9860210103377557E-2</v>
      </c>
      <c r="P60" s="4" t="s">
        <v>37</v>
      </c>
      <c r="Q60" s="4" t="s">
        <v>47</v>
      </c>
      <c r="R60" s="4">
        <v>1</v>
      </c>
      <c r="S60" s="5">
        <v>0.46100000000000002</v>
      </c>
      <c r="T60" s="3">
        <f t="shared" si="5"/>
        <v>1010.9176800000001</v>
      </c>
      <c r="U60" s="5">
        <f t="shared" si="6"/>
        <v>0.42310202988322942</v>
      </c>
      <c r="V60" s="6">
        <f t="shared" si="7"/>
        <v>427.72132245284502</v>
      </c>
    </row>
    <row r="61" spans="1:22" x14ac:dyDescent="0.3">
      <c r="A61" s="1">
        <v>64</v>
      </c>
      <c r="B61" s="1">
        <v>3</v>
      </c>
      <c r="C61" s="1">
        <v>21397167338</v>
      </c>
      <c r="D61" s="4" t="s">
        <v>43</v>
      </c>
      <c r="E61" t="s">
        <v>164</v>
      </c>
      <c r="F61" s="1">
        <v>42490</v>
      </c>
      <c r="G61" s="1">
        <v>868</v>
      </c>
      <c r="H61" s="5">
        <v>2.0400000000000001E-2</v>
      </c>
      <c r="I61" s="1">
        <v>137</v>
      </c>
      <c r="J61" s="5">
        <v>0.1578</v>
      </c>
      <c r="K61" s="3">
        <v>2.3199999999999998</v>
      </c>
      <c r="L61" s="1">
        <v>142</v>
      </c>
      <c r="M61" s="3">
        <v>4359.75</v>
      </c>
      <c r="N61" s="3">
        <v>318.14</v>
      </c>
      <c r="O61" s="5">
        <f t="shared" si="4"/>
        <v>7.2972074086816899E-2</v>
      </c>
      <c r="P61" s="4" t="s">
        <v>37</v>
      </c>
      <c r="Q61" s="4" t="s">
        <v>47</v>
      </c>
      <c r="R61" s="4">
        <v>1</v>
      </c>
      <c r="S61" s="5">
        <v>0.35399999999999998</v>
      </c>
      <c r="T61" s="3">
        <f t="shared" si="5"/>
        <v>1429.9086599999998</v>
      </c>
      <c r="U61" s="5">
        <f t="shared" si="6"/>
        <v>0.32797950799931186</v>
      </c>
      <c r="V61" s="6">
        <f t="shared" si="7"/>
        <v>468.98073879075525</v>
      </c>
    </row>
    <row r="62" spans="1:22" x14ac:dyDescent="0.3">
      <c r="A62" s="1">
        <v>65</v>
      </c>
      <c r="B62" s="1">
        <v>3</v>
      </c>
      <c r="C62" s="1">
        <v>23092924234</v>
      </c>
      <c r="D62" s="4" t="s">
        <v>126</v>
      </c>
      <c r="E62" t="s">
        <v>165</v>
      </c>
      <c r="F62" s="1">
        <v>13698</v>
      </c>
      <c r="G62" s="1">
        <v>217</v>
      </c>
      <c r="H62" s="5">
        <v>1.5800000000000002E-2</v>
      </c>
      <c r="I62" s="1">
        <v>17</v>
      </c>
      <c r="J62" s="5">
        <v>7.8299999999999995E-2</v>
      </c>
      <c r="K62" s="3">
        <v>2.82</v>
      </c>
      <c r="L62" s="1">
        <v>17</v>
      </c>
      <c r="M62" s="3">
        <v>604.29999999999995</v>
      </c>
      <c r="N62" s="3">
        <v>48.01</v>
      </c>
      <c r="O62" s="5">
        <f t="shared" si="4"/>
        <v>7.9447294390203538E-2</v>
      </c>
      <c r="P62" s="4" t="s">
        <v>37</v>
      </c>
      <c r="Q62" s="4" t="s">
        <v>128</v>
      </c>
      <c r="R62" s="4">
        <v>1</v>
      </c>
      <c r="S62" s="5">
        <v>0.38400000000000001</v>
      </c>
      <c r="T62" s="3">
        <f t="shared" si="5"/>
        <v>212.53247999999996</v>
      </c>
      <c r="U62" s="5">
        <f t="shared" si="6"/>
        <v>0.35170028131722653</v>
      </c>
      <c r="V62" s="6">
        <f t="shared" si="7"/>
        <v>74.747733005047806</v>
      </c>
    </row>
    <row r="63" spans="1:22" x14ac:dyDescent="0.3">
      <c r="A63" s="1">
        <v>66</v>
      </c>
      <c r="B63" s="1">
        <v>3</v>
      </c>
      <c r="C63" s="1">
        <v>22792669933</v>
      </c>
      <c r="D63" s="4" t="s">
        <v>33</v>
      </c>
      <c r="E63" t="s">
        <v>166</v>
      </c>
      <c r="F63" s="1">
        <v>24811</v>
      </c>
      <c r="G63" s="1">
        <v>474</v>
      </c>
      <c r="H63" s="5">
        <v>1.9099999999999999E-2</v>
      </c>
      <c r="I63" s="1">
        <v>70</v>
      </c>
      <c r="J63" s="5">
        <v>0.1477</v>
      </c>
      <c r="K63" s="3">
        <v>1.76</v>
      </c>
      <c r="L63" s="1">
        <v>70</v>
      </c>
      <c r="M63" s="3">
        <v>1575.85</v>
      </c>
      <c r="N63" s="3">
        <v>123.5</v>
      </c>
      <c r="O63" s="5">
        <f t="shared" si="4"/>
        <v>7.8370403274423336E-2</v>
      </c>
      <c r="P63" s="4" t="s">
        <v>37</v>
      </c>
      <c r="Q63" s="4" t="s">
        <v>38</v>
      </c>
      <c r="R63" s="4">
        <v>1</v>
      </c>
      <c r="S63" s="5">
        <v>0.38500000000000001</v>
      </c>
      <c r="T63" s="3">
        <f t="shared" si="5"/>
        <v>558.47714999999994</v>
      </c>
      <c r="U63" s="5">
        <f t="shared" si="6"/>
        <v>0.35439740457530855</v>
      </c>
      <c r="V63" s="6">
        <f t="shared" si="7"/>
        <v>197.92285247461527</v>
      </c>
    </row>
    <row r="64" spans="1:22" x14ac:dyDescent="0.3">
      <c r="A64" s="1">
        <v>67</v>
      </c>
      <c r="B64" s="1">
        <v>3</v>
      </c>
      <c r="C64" s="1">
        <v>22392890747</v>
      </c>
      <c r="D64" s="4" t="s">
        <v>51</v>
      </c>
      <c r="E64" t="s">
        <v>167</v>
      </c>
      <c r="F64" s="1">
        <v>9677</v>
      </c>
      <c r="G64" s="1">
        <v>192</v>
      </c>
      <c r="H64" s="5">
        <v>1.9800000000000002E-2</v>
      </c>
      <c r="I64" s="1">
        <v>8</v>
      </c>
      <c r="J64" s="5">
        <v>4.1700000000000001E-2</v>
      </c>
      <c r="K64" s="3">
        <v>6.03</v>
      </c>
      <c r="L64" s="1">
        <v>11</v>
      </c>
      <c r="M64" s="3">
        <v>504.9</v>
      </c>
      <c r="N64" s="3">
        <v>48.21</v>
      </c>
      <c r="O64" s="5">
        <f t="shared" si="4"/>
        <v>9.548425430778372E-2</v>
      </c>
      <c r="P64" s="4" t="s">
        <v>37</v>
      </c>
      <c r="Q64" s="4" t="s">
        <v>55</v>
      </c>
      <c r="R64" s="4">
        <v>1</v>
      </c>
      <c r="S64" s="5">
        <v>0.317</v>
      </c>
      <c r="T64" s="3">
        <f t="shared" si="5"/>
        <v>142.85922000000002</v>
      </c>
      <c r="U64" s="5">
        <f t="shared" si="6"/>
        <v>0.28294557338086757</v>
      </c>
      <c r="V64" s="6">
        <f t="shared" si="7"/>
        <v>40.42138391564351</v>
      </c>
    </row>
    <row r="65" spans="1:22" x14ac:dyDescent="0.3">
      <c r="A65" s="1">
        <v>84</v>
      </c>
      <c r="B65" s="1">
        <v>3</v>
      </c>
      <c r="C65" s="1">
        <v>19498962091</v>
      </c>
      <c r="D65" s="4" t="s">
        <v>22</v>
      </c>
      <c r="E65" t="s">
        <v>168</v>
      </c>
      <c r="F65" s="1">
        <v>78481</v>
      </c>
      <c r="G65" s="1">
        <v>2064</v>
      </c>
      <c r="H65" s="5">
        <v>2.63E-2</v>
      </c>
      <c r="I65" s="1">
        <v>126</v>
      </c>
      <c r="J65" s="5">
        <v>6.0999999999999999E-2</v>
      </c>
      <c r="K65" s="3">
        <v>3.93</v>
      </c>
      <c r="L65" s="1">
        <v>132</v>
      </c>
      <c r="M65" s="3">
        <v>7181.6</v>
      </c>
      <c r="N65" s="3">
        <v>495.01</v>
      </c>
      <c r="O65" s="5">
        <f t="shared" si="4"/>
        <v>6.8927537039099915E-2</v>
      </c>
      <c r="P65" s="4" t="s">
        <v>26</v>
      </c>
      <c r="Q65" s="4" t="s">
        <v>125</v>
      </c>
      <c r="R65" s="4">
        <v>10</v>
      </c>
      <c r="S65" s="5">
        <v>0.317</v>
      </c>
      <c r="T65" s="3">
        <f t="shared" si="5"/>
        <v>2118.4032200000001</v>
      </c>
      <c r="U65" s="5">
        <f t="shared" si="6"/>
        <v>0.29497649827336525</v>
      </c>
      <c r="V65" s="6">
        <f t="shared" si="7"/>
        <v>624.87916376662145</v>
      </c>
    </row>
    <row r="66" spans="1:22" x14ac:dyDescent="0.3">
      <c r="A66" s="1">
        <v>68</v>
      </c>
      <c r="B66" s="1">
        <v>3</v>
      </c>
      <c r="C66" s="1">
        <v>20897672485</v>
      </c>
      <c r="D66" s="4" t="s">
        <v>43</v>
      </c>
      <c r="E66" t="s">
        <v>169</v>
      </c>
      <c r="F66" s="1">
        <v>73824</v>
      </c>
      <c r="G66" s="1">
        <v>1403</v>
      </c>
      <c r="H66" s="5">
        <v>1.9E-2</v>
      </c>
      <c r="I66" s="1">
        <v>168</v>
      </c>
      <c r="J66" s="5">
        <v>0.1197</v>
      </c>
      <c r="K66" s="3">
        <v>4.5</v>
      </c>
      <c r="L66" s="1">
        <v>171</v>
      </c>
      <c r="M66" s="3">
        <v>8747.9</v>
      </c>
      <c r="N66" s="3">
        <v>755.52</v>
      </c>
      <c r="O66" s="5">
        <f t="shared" ref="O66:O97" si="8">+N66/M66</f>
        <v>8.6365870666102726E-2</v>
      </c>
      <c r="P66" s="4" t="s">
        <v>37</v>
      </c>
      <c r="Q66" s="4" t="s">
        <v>47</v>
      </c>
      <c r="R66" s="4">
        <v>2</v>
      </c>
      <c r="S66" s="5">
        <v>0.35599999999999998</v>
      </c>
      <c r="T66" s="3">
        <f t="shared" ref="T66:T97" si="9">+S66*(M66-N66-K66)</f>
        <v>2843.6852799999997</v>
      </c>
      <c r="U66" s="5">
        <f t="shared" ref="U66:U97" si="10">+T66/M66</f>
        <v>0.32507062037746198</v>
      </c>
      <c r="V66" s="6">
        <f t="shared" ref="V66:V97" si="11">+T66*U66</f>
        <v>924.39853812785657</v>
      </c>
    </row>
    <row r="67" spans="1:22" x14ac:dyDescent="0.3">
      <c r="A67" s="1">
        <v>69</v>
      </c>
      <c r="B67" s="1">
        <v>3</v>
      </c>
      <c r="C67" s="1">
        <v>22792781219</v>
      </c>
      <c r="D67" s="4" t="s">
        <v>33</v>
      </c>
      <c r="E67" t="s">
        <v>170</v>
      </c>
      <c r="F67" s="1">
        <v>9031</v>
      </c>
      <c r="G67" s="1">
        <v>96</v>
      </c>
      <c r="H67" s="5">
        <v>1.06E-2</v>
      </c>
      <c r="I67" s="1">
        <v>11</v>
      </c>
      <c r="J67" s="5">
        <v>0.11459999999999999</v>
      </c>
      <c r="K67" s="3">
        <v>3.06</v>
      </c>
      <c r="L67" s="1">
        <v>11</v>
      </c>
      <c r="M67" s="3">
        <v>430.9</v>
      </c>
      <c r="N67" s="3">
        <v>33.71</v>
      </c>
      <c r="O67" s="5">
        <f t="shared" si="8"/>
        <v>7.8231608261777677E-2</v>
      </c>
      <c r="P67" s="4" t="s">
        <v>37</v>
      </c>
      <c r="Q67" s="4" t="s">
        <v>38</v>
      </c>
      <c r="R67" s="4">
        <v>2</v>
      </c>
      <c r="S67" s="5">
        <v>0.40699999999999997</v>
      </c>
      <c r="T67" s="3">
        <f t="shared" si="9"/>
        <v>160.41091</v>
      </c>
      <c r="U67" s="5">
        <f t="shared" si="10"/>
        <v>0.37226945927129268</v>
      </c>
      <c r="V67" s="6">
        <f t="shared" si="11"/>
        <v>59.716082726916</v>
      </c>
    </row>
    <row r="68" spans="1:22" x14ac:dyDescent="0.3">
      <c r="A68" s="1">
        <v>70</v>
      </c>
      <c r="B68" s="1">
        <v>3</v>
      </c>
      <c r="C68" s="1">
        <v>18697607826</v>
      </c>
      <c r="D68" s="4" t="s">
        <v>33</v>
      </c>
      <c r="E68" t="s">
        <v>171</v>
      </c>
      <c r="F68" s="1">
        <v>4515</v>
      </c>
      <c r="G68" s="1">
        <v>43</v>
      </c>
      <c r="H68" s="5">
        <v>9.4999999999999998E-3</v>
      </c>
      <c r="I68" s="1">
        <v>3</v>
      </c>
      <c r="J68" s="5">
        <v>6.9800000000000001E-2</v>
      </c>
      <c r="K68" s="3">
        <v>4.88</v>
      </c>
      <c r="L68" s="1">
        <v>3</v>
      </c>
      <c r="M68" s="3">
        <v>179.7</v>
      </c>
      <c r="N68" s="3">
        <v>14.64</v>
      </c>
      <c r="O68" s="5">
        <f t="shared" si="8"/>
        <v>8.1469115191986657E-2</v>
      </c>
      <c r="P68" s="4" t="s">
        <v>37</v>
      </c>
      <c r="Q68" s="4" t="s">
        <v>38</v>
      </c>
      <c r="R68" s="4">
        <v>2</v>
      </c>
      <c r="S68" s="5">
        <v>0.40699999999999997</v>
      </c>
      <c r="T68" s="3">
        <f t="shared" si="9"/>
        <v>65.193259999999995</v>
      </c>
      <c r="U68" s="5">
        <f t="shared" si="10"/>
        <v>0.36278942682248189</v>
      </c>
      <c r="V68" s="6">
        <f t="shared" si="11"/>
        <v>23.651425428089034</v>
      </c>
    </row>
    <row r="69" spans="1:22" x14ac:dyDescent="0.3">
      <c r="A69" s="1">
        <v>71</v>
      </c>
      <c r="B69" s="1">
        <v>3</v>
      </c>
      <c r="C69" s="1">
        <v>23792775950</v>
      </c>
      <c r="D69" s="4" t="s">
        <v>33</v>
      </c>
      <c r="E69" t="s">
        <v>172</v>
      </c>
      <c r="F69" s="1">
        <v>75075</v>
      </c>
      <c r="G69" s="1">
        <v>1192</v>
      </c>
      <c r="H69" s="5">
        <v>1.5900000000000001E-2</v>
      </c>
      <c r="I69" s="1">
        <v>120</v>
      </c>
      <c r="J69" s="5">
        <v>0.1007</v>
      </c>
      <c r="K69" s="3">
        <v>8.43</v>
      </c>
      <c r="L69" s="1">
        <v>123</v>
      </c>
      <c r="M69" s="3">
        <v>7176.67</v>
      </c>
      <c r="N69" s="3">
        <v>1011.37</v>
      </c>
      <c r="O69" s="5">
        <f t="shared" si="8"/>
        <v>0.14092469069916827</v>
      </c>
      <c r="P69" s="4" t="s">
        <v>37</v>
      </c>
      <c r="Q69" s="4" t="s">
        <v>38</v>
      </c>
      <c r="R69" s="4">
        <v>4</v>
      </c>
      <c r="S69" s="5">
        <v>0.376</v>
      </c>
      <c r="T69" s="3">
        <f t="shared" si="9"/>
        <v>2314.9831199999999</v>
      </c>
      <c r="U69" s="5">
        <f t="shared" si="10"/>
        <v>0.3225706518482806</v>
      </c>
      <c r="V69" s="6">
        <f t="shared" si="11"/>
        <v>746.74561403616633</v>
      </c>
    </row>
    <row r="70" spans="1:22" x14ac:dyDescent="0.3">
      <c r="A70" s="1">
        <v>75</v>
      </c>
      <c r="B70" s="1">
        <v>3</v>
      </c>
      <c r="C70" s="1">
        <v>22397598129</v>
      </c>
      <c r="D70" s="4" t="s">
        <v>43</v>
      </c>
      <c r="E70" t="s">
        <v>173</v>
      </c>
      <c r="F70" s="1">
        <v>9072</v>
      </c>
      <c r="G70" s="1">
        <v>150</v>
      </c>
      <c r="H70" s="5">
        <v>1.6500000000000001E-2</v>
      </c>
      <c r="I70" s="1">
        <v>10</v>
      </c>
      <c r="J70" s="5">
        <v>6.6699999999999995E-2</v>
      </c>
      <c r="K70" s="3">
        <v>6.36</v>
      </c>
      <c r="L70" s="1">
        <v>10</v>
      </c>
      <c r="M70" s="3">
        <v>449</v>
      </c>
      <c r="N70" s="3">
        <v>63.62</v>
      </c>
      <c r="O70" s="5">
        <f t="shared" si="8"/>
        <v>0.14169265033407571</v>
      </c>
      <c r="P70" s="4" t="s">
        <v>37</v>
      </c>
      <c r="Q70" s="4" t="s">
        <v>47</v>
      </c>
      <c r="R70" s="4">
        <v>1</v>
      </c>
      <c r="S70" s="5">
        <v>0.35399999999999998</v>
      </c>
      <c r="T70" s="3">
        <f t="shared" si="9"/>
        <v>134.17308</v>
      </c>
      <c r="U70" s="5">
        <f t="shared" si="10"/>
        <v>0.29882645879732739</v>
      </c>
      <c r="V70" s="6">
        <f t="shared" si="11"/>
        <v>40.094466362330508</v>
      </c>
    </row>
    <row r="71" spans="1:22" x14ac:dyDescent="0.3">
      <c r="A71" s="1">
        <v>73</v>
      </c>
      <c r="B71" s="1">
        <v>3</v>
      </c>
      <c r="C71" s="1">
        <v>22392895533</v>
      </c>
      <c r="D71" s="4" t="s">
        <v>51</v>
      </c>
      <c r="E71" t="s">
        <v>174</v>
      </c>
      <c r="F71" s="1">
        <v>13419</v>
      </c>
      <c r="G71" s="1">
        <v>177</v>
      </c>
      <c r="H71" s="5">
        <v>1.32E-2</v>
      </c>
      <c r="I71" s="1">
        <v>18</v>
      </c>
      <c r="J71" s="5">
        <v>0.1017</v>
      </c>
      <c r="K71" s="3">
        <v>5.0999999999999996</v>
      </c>
      <c r="L71" s="1">
        <v>21</v>
      </c>
      <c r="M71" s="3">
        <v>923.9</v>
      </c>
      <c r="N71" s="3">
        <v>91.72</v>
      </c>
      <c r="O71" s="5">
        <f t="shared" si="8"/>
        <v>9.9274813291481759E-2</v>
      </c>
      <c r="P71" s="4" t="s">
        <v>37</v>
      </c>
      <c r="Q71" s="4" t="s">
        <v>55</v>
      </c>
      <c r="R71" s="4">
        <v>1</v>
      </c>
      <c r="S71" s="5">
        <v>0.317</v>
      </c>
      <c r="T71" s="3">
        <f t="shared" si="9"/>
        <v>262.18435999999997</v>
      </c>
      <c r="U71" s="5">
        <f t="shared" si="10"/>
        <v>0.28378001948262799</v>
      </c>
      <c r="V71" s="6">
        <f t="shared" si="11"/>
        <v>74.402682788840337</v>
      </c>
    </row>
    <row r="72" spans="1:22" x14ac:dyDescent="0.3">
      <c r="A72" s="1">
        <v>76</v>
      </c>
      <c r="B72" s="1">
        <v>3</v>
      </c>
      <c r="C72" s="1">
        <v>22692878658</v>
      </c>
      <c r="D72" s="4" t="s">
        <v>175</v>
      </c>
      <c r="E72" t="s">
        <v>176</v>
      </c>
      <c r="F72" s="1">
        <v>6271</v>
      </c>
      <c r="G72" s="1">
        <v>179</v>
      </c>
      <c r="H72" s="5">
        <v>2.8500000000000001E-2</v>
      </c>
      <c r="I72" s="1">
        <v>0</v>
      </c>
      <c r="J72" s="5">
        <v>0</v>
      </c>
      <c r="K72" s="3">
        <v>0</v>
      </c>
      <c r="L72" s="1">
        <v>0</v>
      </c>
      <c r="M72" s="3">
        <v>0</v>
      </c>
      <c r="N72" s="3">
        <v>15.6</v>
      </c>
      <c r="O72" s="5" t="e">
        <f t="shared" si="8"/>
        <v>#DIV/0!</v>
      </c>
      <c r="P72" s="4" t="s">
        <v>37</v>
      </c>
      <c r="Q72" s="4" t="s">
        <v>177</v>
      </c>
      <c r="R72" s="4">
        <v>1</v>
      </c>
      <c r="S72" s="5">
        <v>0.34200000000000003</v>
      </c>
      <c r="T72" s="3">
        <f t="shared" si="9"/>
        <v>-5.3352000000000004</v>
      </c>
      <c r="U72" s="5" t="e">
        <f t="shared" si="10"/>
        <v>#DIV/0!</v>
      </c>
      <c r="V72" s="6" t="e">
        <f t="shared" si="11"/>
        <v>#DIV/0!</v>
      </c>
    </row>
    <row r="73" spans="1:22" x14ac:dyDescent="0.3">
      <c r="A73" s="1">
        <v>77</v>
      </c>
      <c r="B73" s="1">
        <v>3</v>
      </c>
      <c r="C73" s="1">
        <v>23997480409</v>
      </c>
      <c r="D73" s="4" t="s">
        <v>33</v>
      </c>
      <c r="E73" t="s">
        <v>178</v>
      </c>
      <c r="F73" s="1">
        <v>18855</v>
      </c>
      <c r="G73" s="1">
        <v>264</v>
      </c>
      <c r="H73" s="5">
        <v>1.4E-2</v>
      </c>
      <c r="I73" s="1">
        <v>42</v>
      </c>
      <c r="J73" s="5">
        <v>0.15909999999999999</v>
      </c>
      <c r="K73" s="3">
        <v>2.89</v>
      </c>
      <c r="L73" s="1">
        <v>42</v>
      </c>
      <c r="M73" s="3">
        <v>1520.09</v>
      </c>
      <c r="N73" s="3">
        <v>121.37</v>
      </c>
      <c r="O73" s="5">
        <f t="shared" si="8"/>
        <v>7.9843956607832445E-2</v>
      </c>
      <c r="P73" s="4" t="s">
        <v>37</v>
      </c>
      <c r="Q73" s="4" t="s">
        <v>38</v>
      </c>
      <c r="R73" s="4">
        <v>1</v>
      </c>
      <c r="S73" s="5">
        <v>0.38500000000000001</v>
      </c>
      <c r="T73" s="3">
        <f t="shared" si="9"/>
        <v>537.39454999999987</v>
      </c>
      <c r="U73" s="5">
        <f t="shared" si="10"/>
        <v>0.35352811346696572</v>
      </c>
      <c r="V73" s="6">
        <f t="shared" si="11"/>
        <v>189.98408144892895</v>
      </c>
    </row>
    <row r="74" spans="1:22" x14ac:dyDescent="0.3">
      <c r="A74" s="1">
        <v>78</v>
      </c>
      <c r="B74" s="1">
        <v>3</v>
      </c>
      <c r="C74" s="1">
        <v>22197175859</v>
      </c>
      <c r="D74" s="4" t="s">
        <v>129</v>
      </c>
      <c r="E74" t="s">
        <v>179</v>
      </c>
      <c r="F74" s="1">
        <v>12694</v>
      </c>
      <c r="G74" s="1">
        <v>215</v>
      </c>
      <c r="H74" s="5">
        <v>1.6899999999999998E-2</v>
      </c>
      <c r="I74" s="1">
        <v>28</v>
      </c>
      <c r="J74" s="5">
        <v>0.13020000000000001</v>
      </c>
      <c r="K74" s="3">
        <v>3.19</v>
      </c>
      <c r="L74" s="1">
        <v>29</v>
      </c>
      <c r="M74" s="3">
        <v>742.9</v>
      </c>
      <c r="N74" s="3">
        <v>89.35</v>
      </c>
      <c r="O74" s="5">
        <f t="shared" si="8"/>
        <v>0.12027190738995827</v>
      </c>
      <c r="P74" s="4" t="s">
        <v>37</v>
      </c>
      <c r="Q74" s="4" t="s">
        <v>131</v>
      </c>
      <c r="R74" s="4">
        <v>1</v>
      </c>
      <c r="S74" s="5">
        <v>0.38500000000000001</v>
      </c>
      <c r="T74" s="3">
        <f t="shared" si="9"/>
        <v>250.38859999999997</v>
      </c>
      <c r="U74" s="5">
        <f t="shared" si="10"/>
        <v>0.3370421321846816</v>
      </c>
      <c r="V74" s="6">
        <f t="shared" si="11"/>
        <v>84.39150761873735</v>
      </c>
    </row>
    <row r="75" spans="1:22" x14ac:dyDescent="0.3">
      <c r="A75" s="1">
        <v>72</v>
      </c>
      <c r="B75" s="1">
        <v>3</v>
      </c>
      <c r="C75" s="1">
        <v>22198870488</v>
      </c>
      <c r="D75" s="4" t="s">
        <v>129</v>
      </c>
      <c r="E75" t="s">
        <v>180</v>
      </c>
      <c r="F75" s="1">
        <v>5198</v>
      </c>
      <c r="G75" s="1">
        <v>88</v>
      </c>
      <c r="H75" s="5">
        <v>1.6899999999999998E-2</v>
      </c>
      <c r="I75" s="1">
        <v>9</v>
      </c>
      <c r="J75" s="5">
        <v>0.1023</v>
      </c>
      <c r="K75" s="3">
        <v>3.31</v>
      </c>
      <c r="L75" s="1">
        <v>9</v>
      </c>
      <c r="M75" s="3">
        <v>341.1</v>
      </c>
      <c r="N75" s="3">
        <v>29.75</v>
      </c>
      <c r="O75" s="5">
        <f t="shared" si="8"/>
        <v>8.7217824684843154E-2</v>
      </c>
      <c r="P75" s="4" t="s">
        <v>37</v>
      </c>
      <c r="Q75" s="4" t="s">
        <v>131</v>
      </c>
      <c r="R75" s="4">
        <v>1</v>
      </c>
      <c r="S75" s="5">
        <v>0.3</v>
      </c>
      <c r="T75" s="3">
        <f t="shared" si="9"/>
        <v>92.412000000000006</v>
      </c>
      <c r="U75" s="5">
        <f t="shared" si="10"/>
        <v>0.27092348284960421</v>
      </c>
      <c r="V75" s="6">
        <f t="shared" si="11"/>
        <v>25.036580897097625</v>
      </c>
    </row>
    <row r="76" spans="1:22" x14ac:dyDescent="0.3">
      <c r="A76" s="1">
        <v>74</v>
      </c>
      <c r="B76" s="1">
        <v>3</v>
      </c>
      <c r="C76" s="1">
        <v>22893234695</v>
      </c>
      <c r="D76" s="4" t="s">
        <v>181</v>
      </c>
      <c r="E76" t="s">
        <v>182</v>
      </c>
      <c r="F76" s="1">
        <v>48116</v>
      </c>
      <c r="G76" s="1">
        <v>962</v>
      </c>
      <c r="H76" s="5">
        <v>0.02</v>
      </c>
      <c r="I76" s="1">
        <v>90</v>
      </c>
      <c r="J76" s="5">
        <v>9.3600000000000003E-2</v>
      </c>
      <c r="K76" s="3">
        <v>3.21</v>
      </c>
      <c r="L76" s="1">
        <v>93</v>
      </c>
      <c r="M76" s="3">
        <v>3071.7</v>
      </c>
      <c r="N76" s="3">
        <v>288.57</v>
      </c>
      <c r="O76" s="5">
        <f t="shared" si="8"/>
        <v>9.3944721164176195E-2</v>
      </c>
      <c r="P76" s="4" t="s">
        <v>37</v>
      </c>
      <c r="Q76" s="4" t="s">
        <v>183</v>
      </c>
      <c r="R76" s="4">
        <v>1</v>
      </c>
      <c r="S76" s="5">
        <v>0.38500000000000001</v>
      </c>
      <c r="T76" s="3">
        <f t="shared" si="9"/>
        <v>1070.2692</v>
      </c>
      <c r="U76" s="5">
        <f t="shared" si="10"/>
        <v>0.34842894813946673</v>
      </c>
      <c r="V76" s="6">
        <f t="shared" si="11"/>
        <v>372.91277158206856</v>
      </c>
    </row>
    <row r="77" spans="1:22" x14ac:dyDescent="0.3">
      <c r="A77" s="1">
        <v>80</v>
      </c>
      <c r="B77" s="1">
        <v>3</v>
      </c>
      <c r="C77" s="1">
        <v>23192993710</v>
      </c>
      <c r="D77" s="4" t="s">
        <v>43</v>
      </c>
      <c r="E77" t="s">
        <v>184</v>
      </c>
      <c r="F77" s="1">
        <v>11495</v>
      </c>
      <c r="G77" s="1">
        <v>151</v>
      </c>
      <c r="H77" s="5">
        <v>1.3100000000000001E-2</v>
      </c>
      <c r="I77" s="1">
        <v>11</v>
      </c>
      <c r="J77" s="5">
        <v>7.2800000000000004E-2</v>
      </c>
      <c r="K77" s="3">
        <v>8.4600000000000009</v>
      </c>
      <c r="L77" s="1">
        <v>12</v>
      </c>
      <c r="M77" s="3">
        <v>778.8</v>
      </c>
      <c r="N77" s="3">
        <v>93.04</v>
      </c>
      <c r="O77" s="5">
        <f t="shared" si="8"/>
        <v>0.11946584488957372</v>
      </c>
      <c r="P77" s="4" t="s">
        <v>37</v>
      </c>
      <c r="Q77" s="4" t="s">
        <v>47</v>
      </c>
      <c r="R77" s="4">
        <v>2</v>
      </c>
      <c r="S77" s="5">
        <v>0.35599999999999998</v>
      </c>
      <c r="T77" s="3">
        <f t="shared" si="9"/>
        <v>241.11879999999996</v>
      </c>
      <c r="U77" s="5">
        <f t="shared" si="10"/>
        <v>0.30960297894196198</v>
      </c>
      <c r="V77" s="6">
        <f t="shared" si="11"/>
        <v>74.651098758911132</v>
      </c>
    </row>
    <row r="78" spans="1:22" x14ac:dyDescent="0.3">
      <c r="A78" s="1">
        <v>81</v>
      </c>
      <c r="B78" s="1">
        <v>3</v>
      </c>
      <c r="C78" s="1">
        <v>19897609772</v>
      </c>
      <c r="D78" s="4" t="s">
        <v>33</v>
      </c>
      <c r="E78" t="s">
        <v>185</v>
      </c>
      <c r="F78" s="1">
        <v>2098</v>
      </c>
      <c r="G78" s="1">
        <v>14</v>
      </c>
      <c r="H78" s="5">
        <v>6.7000000000000002E-3</v>
      </c>
      <c r="I78" s="1">
        <v>0</v>
      </c>
      <c r="J78" s="5">
        <v>0</v>
      </c>
      <c r="K78" s="3">
        <v>0</v>
      </c>
      <c r="L78" s="1">
        <v>0</v>
      </c>
      <c r="M78" s="3">
        <v>0</v>
      </c>
      <c r="N78" s="3">
        <v>4.55</v>
      </c>
      <c r="O78" s="5" t="e">
        <f t="shared" si="8"/>
        <v>#DIV/0!</v>
      </c>
      <c r="P78" s="4" t="s">
        <v>37</v>
      </c>
      <c r="Q78" s="4" t="s">
        <v>38</v>
      </c>
      <c r="R78" s="4">
        <v>2</v>
      </c>
      <c r="S78" s="5">
        <v>0.40699999999999997</v>
      </c>
      <c r="T78" s="3">
        <f t="shared" si="9"/>
        <v>-1.8518499999999998</v>
      </c>
      <c r="U78" s="5" t="e">
        <f t="shared" si="10"/>
        <v>#DIV/0!</v>
      </c>
      <c r="V78" s="6" t="e">
        <f t="shared" si="11"/>
        <v>#DIV/0!</v>
      </c>
    </row>
    <row r="79" spans="1:22" x14ac:dyDescent="0.3">
      <c r="A79" s="1">
        <v>82</v>
      </c>
      <c r="B79" s="1">
        <v>3</v>
      </c>
      <c r="C79" s="1">
        <v>22198866258</v>
      </c>
      <c r="D79" s="4" t="s">
        <v>129</v>
      </c>
      <c r="E79" t="s">
        <v>186</v>
      </c>
      <c r="F79" s="1">
        <v>20876</v>
      </c>
      <c r="G79" s="1">
        <v>273</v>
      </c>
      <c r="H79" s="5">
        <v>1.3100000000000001E-2</v>
      </c>
      <c r="I79" s="1">
        <v>10</v>
      </c>
      <c r="J79" s="5">
        <v>3.6600000000000001E-2</v>
      </c>
      <c r="K79" s="3">
        <v>21.53</v>
      </c>
      <c r="L79" s="1">
        <v>10</v>
      </c>
      <c r="M79" s="3">
        <v>429</v>
      </c>
      <c r="N79" s="3">
        <v>215.29</v>
      </c>
      <c r="O79" s="5">
        <f t="shared" si="8"/>
        <v>0.50184149184149185</v>
      </c>
      <c r="P79" s="4" t="s">
        <v>37</v>
      </c>
      <c r="Q79" s="4" t="s">
        <v>131</v>
      </c>
      <c r="R79" s="4">
        <v>2</v>
      </c>
      <c r="S79" s="5">
        <v>0.17699999999999999</v>
      </c>
      <c r="T79" s="3">
        <f t="shared" si="9"/>
        <v>34.015859999999996</v>
      </c>
      <c r="U79" s="5">
        <f t="shared" si="10"/>
        <v>7.9291048951048937E-2</v>
      </c>
      <c r="V79" s="6">
        <f t="shared" si="11"/>
        <v>2.6971532203720274</v>
      </c>
    </row>
    <row r="80" spans="1:22" x14ac:dyDescent="0.3">
      <c r="A80" s="1">
        <v>85</v>
      </c>
      <c r="B80" s="1">
        <v>3</v>
      </c>
      <c r="C80" s="1">
        <v>23697473463</v>
      </c>
      <c r="D80" s="4" t="s">
        <v>187</v>
      </c>
      <c r="E80" t="s">
        <v>188</v>
      </c>
      <c r="F80" s="1">
        <v>91539</v>
      </c>
      <c r="G80" s="1">
        <v>1969</v>
      </c>
      <c r="H80" s="5">
        <v>2.1499999999999998E-2</v>
      </c>
      <c r="I80" s="1">
        <v>75</v>
      </c>
      <c r="J80" s="5">
        <v>3.8100000000000002E-2</v>
      </c>
      <c r="K80" s="3">
        <v>10.36</v>
      </c>
      <c r="L80" s="1">
        <v>87</v>
      </c>
      <c r="M80" s="3">
        <v>10862.79</v>
      </c>
      <c r="N80" s="3">
        <v>776.96</v>
      </c>
      <c r="O80" s="5">
        <f t="shared" si="8"/>
        <v>7.1524902902477164E-2</v>
      </c>
      <c r="P80" s="4" t="s">
        <v>26</v>
      </c>
      <c r="Q80" s="4" t="s">
        <v>125</v>
      </c>
      <c r="R80" s="4">
        <v>30</v>
      </c>
      <c r="S80" s="5">
        <v>0.29099999999999998</v>
      </c>
      <c r="T80" s="3">
        <f t="shared" si="9"/>
        <v>2931.9617700000003</v>
      </c>
      <c r="U80" s="5">
        <f t="shared" si="10"/>
        <v>0.269908722344812</v>
      </c>
      <c r="V80" s="6">
        <f t="shared" si="11"/>
        <v>791.36205530453367</v>
      </c>
    </row>
    <row r="81" spans="1:22" x14ac:dyDescent="0.3">
      <c r="A81" s="1">
        <v>83</v>
      </c>
      <c r="B81" s="1">
        <v>3</v>
      </c>
      <c r="C81" s="1">
        <v>23597490298</v>
      </c>
      <c r="D81" s="4" t="s">
        <v>43</v>
      </c>
      <c r="E81" t="s">
        <v>189</v>
      </c>
      <c r="F81" s="1">
        <v>5337</v>
      </c>
      <c r="G81" s="1">
        <v>85</v>
      </c>
      <c r="H81" s="5">
        <v>1.5900000000000001E-2</v>
      </c>
      <c r="I81" s="1">
        <v>6</v>
      </c>
      <c r="J81" s="5">
        <v>7.0599999999999996E-2</v>
      </c>
      <c r="K81" s="3">
        <v>9.39</v>
      </c>
      <c r="L81" s="1">
        <v>8</v>
      </c>
      <c r="M81" s="3">
        <v>564.20000000000005</v>
      </c>
      <c r="N81" s="3">
        <v>56.34</v>
      </c>
      <c r="O81" s="5">
        <f t="shared" si="8"/>
        <v>9.9858206309819217E-2</v>
      </c>
      <c r="P81" s="4" t="s">
        <v>37</v>
      </c>
      <c r="Q81" s="4" t="s">
        <v>47</v>
      </c>
      <c r="R81" s="4">
        <v>4</v>
      </c>
      <c r="S81" s="5">
        <v>0.373</v>
      </c>
      <c r="T81" s="3">
        <f t="shared" si="9"/>
        <v>185.92931000000002</v>
      </c>
      <c r="U81" s="5">
        <f t="shared" si="10"/>
        <v>0.32954503722084366</v>
      </c>
      <c r="V81" s="6">
        <f t="shared" si="11"/>
        <v>61.272081384395783</v>
      </c>
    </row>
    <row r="82" spans="1:22" x14ac:dyDescent="0.3">
      <c r="A82" s="1">
        <v>86</v>
      </c>
      <c r="B82" s="1">
        <v>3</v>
      </c>
      <c r="C82" s="1">
        <v>21597667287</v>
      </c>
      <c r="D82" s="4" t="s">
        <v>190</v>
      </c>
      <c r="E82" t="s">
        <v>191</v>
      </c>
      <c r="F82" s="1">
        <v>16441</v>
      </c>
      <c r="G82" s="1">
        <v>209</v>
      </c>
      <c r="H82" s="5">
        <v>1.2699999999999999E-2</v>
      </c>
      <c r="I82" s="1">
        <v>5</v>
      </c>
      <c r="J82" s="5">
        <v>2.3900000000000001E-2</v>
      </c>
      <c r="K82" s="3">
        <v>24.49</v>
      </c>
      <c r="L82" s="1">
        <v>6</v>
      </c>
      <c r="M82" s="3">
        <v>1333.9</v>
      </c>
      <c r="N82" s="3">
        <v>122.44</v>
      </c>
      <c r="O82" s="5">
        <f t="shared" si="8"/>
        <v>9.1790988829747344E-2</v>
      </c>
      <c r="P82" s="4" t="s">
        <v>26</v>
      </c>
      <c r="Q82" s="4" t="s">
        <v>125</v>
      </c>
      <c r="R82" s="4">
        <v>50</v>
      </c>
      <c r="S82" s="5">
        <v>0.36099999999999999</v>
      </c>
      <c r="T82" s="3">
        <f t="shared" si="9"/>
        <v>428.49617000000001</v>
      </c>
      <c r="U82" s="5">
        <f t="shared" si="10"/>
        <v>0.32123560236899318</v>
      </c>
      <c r="V82" s="6">
        <f t="shared" si="11"/>
        <v>137.6482252827565</v>
      </c>
    </row>
    <row r="83" spans="1:22" x14ac:dyDescent="0.3">
      <c r="A83" s="1">
        <v>87</v>
      </c>
      <c r="B83" s="1">
        <v>3</v>
      </c>
      <c r="C83" s="1">
        <v>23592989780</v>
      </c>
      <c r="D83" s="4" t="s">
        <v>161</v>
      </c>
      <c r="E83" t="s">
        <v>192</v>
      </c>
      <c r="F83" s="1">
        <v>111409</v>
      </c>
      <c r="G83" s="1">
        <v>2782</v>
      </c>
      <c r="H83" s="5">
        <v>2.5000000000000001E-2</v>
      </c>
      <c r="I83" s="1">
        <v>131</v>
      </c>
      <c r="J83" s="5">
        <v>4.7100000000000003E-2</v>
      </c>
      <c r="K83" s="3">
        <v>5.88</v>
      </c>
      <c r="L83" s="1">
        <v>141</v>
      </c>
      <c r="M83" s="3">
        <v>9227.07</v>
      </c>
      <c r="N83" s="3">
        <v>770.6</v>
      </c>
      <c r="O83" s="5">
        <f t="shared" si="8"/>
        <v>8.3515135357161055E-2</v>
      </c>
      <c r="P83" s="4" t="s">
        <v>26</v>
      </c>
      <c r="Q83" s="4" t="s">
        <v>125</v>
      </c>
      <c r="R83" s="4">
        <v>1</v>
      </c>
      <c r="S83" s="5">
        <v>0.317</v>
      </c>
      <c r="T83" s="3">
        <f t="shared" si="9"/>
        <v>2678.8370300000001</v>
      </c>
      <c r="U83" s="5">
        <f t="shared" si="10"/>
        <v>0.29032369213629033</v>
      </c>
      <c r="V83" s="6">
        <f t="shared" si="11"/>
        <v>777.72985718101438</v>
      </c>
    </row>
    <row r="84" spans="1:22" x14ac:dyDescent="0.3">
      <c r="A84" s="1">
        <v>88</v>
      </c>
      <c r="B84" s="1">
        <v>4</v>
      </c>
      <c r="C84" s="1">
        <v>58257519133</v>
      </c>
      <c r="D84" s="4" t="s">
        <v>181</v>
      </c>
      <c r="E84" t="s">
        <v>193</v>
      </c>
      <c r="F84" s="1">
        <v>5201</v>
      </c>
      <c r="G84" s="1">
        <v>94</v>
      </c>
      <c r="H84" s="5">
        <v>1.8100000000000002E-2</v>
      </c>
      <c r="I84" s="1">
        <v>6</v>
      </c>
      <c r="J84" s="5">
        <v>6.3799999999999996E-2</v>
      </c>
      <c r="K84" s="3">
        <v>3.71</v>
      </c>
      <c r="L84" s="1">
        <v>6</v>
      </c>
      <c r="M84" s="3">
        <v>199.4</v>
      </c>
      <c r="N84" s="3">
        <v>22.23</v>
      </c>
      <c r="O84" s="5">
        <f t="shared" si="8"/>
        <v>0.11148445336008024</v>
      </c>
      <c r="P84" s="4" t="s">
        <v>37</v>
      </c>
      <c r="Q84" s="4" t="s">
        <v>183</v>
      </c>
      <c r="R84" s="4">
        <v>1</v>
      </c>
      <c r="S84" s="5">
        <v>0.35</v>
      </c>
      <c r="T84" s="3">
        <f t="shared" si="9"/>
        <v>60.710999999999999</v>
      </c>
      <c r="U84" s="5">
        <f t="shared" si="10"/>
        <v>0.30446840521564694</v>
      </c>
      <c r="V84" s="6">
        <f t="shared" si="11"/>
        <v>18.48458134904714</v>
      </c>
    </row>
    <row r="85" spans="1:22" x14ac:dyDescent="0.3">
      <c r="A85" s="1">
        <v>89</v>
      </c>
      <c r="B85" s="1">
        <v>4</v>
      </c>
      <c r="C85" s="1">
        <v>58262132060</v>
      </c>
      <c r="D85" s="4" t="s">
        <v>129</v>
      </c>
      <c r="E85" t="s">
        <v>194</v>
      </c>
      <c r="F85" s="1">
        <v>58</v>
      </c>
      <c r="G85" s="1">
        <v>0</v>
      </c>
      <c r="H85" s="5">
        <v>0</v>
      </c>
      <c r="I85" s="1">
        <v>0</v>
      </c>
      <c r="J85" s="5">
        <v>0</v>
      </c>
      <c r="K85" s="3">
        <v>0</v>
      </c>
      <c r="L85" s="1">
        <v>0</v>
      </c>
      <c r="M85" s="3">
        <v>0</v>
      </c>
      <c r="N85" s="3">
        <v>0</v>
      </c>
      <c r="O85" s="5" t="e">
        <f t="shared" si="8"/>
        <v>#DIV/0!</v>
      </c>
      <c r="P85" s="4" t="s">
        <v>37</v>
      </c>
      <c r="Q85" s="4" t="s">
        <v>131</v>
      </c>
      <c r="R85" s="4">
        <v>2</v>
      </c>
      <c r="S85" s="5">
        <v>0.17699999999999999</v>
      </c>
      <c r="T85" s="3">
        <f t="shared" si="9"/>
        <v>0</v>
      </c>
      <c r="U85" s="5" t="e">
        <f t="shared" si="10"/>
        <v>#DIV/0!</v>
      </c>
      <c r="V85" s="6" t="e">
        <f t="shared" si="11"/>
        <v>#DIV/0!</v>
      </c>
    </row>
  </sheetData>
  <autoFilter ref="A1:V85" xr:uid="{00000000-0009-0000-0000-000000000000}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e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</dc:creator>
  <dc:description/>
  <cp:lastModifiedBy>Giovani Costa Silva</cp:lastModifiedBy>
  <cp:revision>23</cp:revision>
  <dcterms:created xsi:type="dcterms:W3CDTF">2026-06-12T14:11:58Z</dcterms:created>
  <dcterms:modified xsi:type="dcterms:W3CDTF">2026-06-23T19:15:45Z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