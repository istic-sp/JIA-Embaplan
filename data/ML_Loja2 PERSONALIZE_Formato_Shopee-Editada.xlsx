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odos os produtos" sheetId="1" state="visible" r:id="rId2"/>
  </sheets>
  <definedNames>
    <definedName function="false" hidden="true" localSheetId="0" name="_xlnm._FilterDatabase" vbProcedure="false">'Todos os produtos'!$A$1:$P$276</definedName>
    <definedName function="false" hidden="false" localSheetId="0" name="_xlnm._FilterDatabase" vbProcedure="false">'Todos os produtos'!$A$1:$O$276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<sst xmlns="http://schemas.openxmlformats.org/spreadsheetml/2006/main" count="1122" uniqueCount="471">
  <si>
    <t xml:space="preserve">#</t>
  </si>
  <si>
    <t xml:space="preserve">Loja</t>
  </si>
  <si>
    <t xml:space="preserve">Index</t>
  </si>
  <si>
    <t xml:space="preserve">ID do Anúncio</t>
  </si>
  <si>
    <t xml:space="preserve">Nome</t>
  </si>
  <si>
    <t xml:space="preserve">Impressões</t>
  </si>
  <si>
    <t xml:space="preserve">Cliques</t>
  </si>
  <si>
    <t xml:space="preserve">CTR</t>
  </si>
  <si>
    <t xml:space="preserve">Convertidos</t>
  </si>
  <si>
    <t xml:space="preserve">$clicks</t>
  </si>
  <si>
    <t xml:space="preserve">Tx.Conver.</t>
  </si>
  <si>
    <t xml:space="preserve">Vendidos</t>
  </si>
  <si>
    <t xml:space="preserve">GMV</t>
  </si>
  <si>
    <t xml:space="preserve">Investimento</t>
  </si>
  <si>
    <t xml:space="preserve">ACOS</t>
  </si>
  <si>
    <t xml:space="preserve">Categoria</t>
  </si>
  <si>
    <t xml:space="preserve">tamanho</t>
  </si>
  <si>
    <t xml:space="preserve">Anunciada</t>
  </si>
  <si>
    <t xml:space="preserve">%l.Medio</t>
  </si>
  <si>
    <t xml:space="preserve">lucro liquido</t>
  </si>
  <si>
    <t xml:space="preserve">%Lliquido</t>
  </si>
  <si>
    <t xml:space="preserve">indice</t>
  </si>
  <si>
    <t xml:space="preserve">ML2</t>
  </si>
  <si>
    <t xml:space="preserve">XXXXXX</t>
  </si>
  <si>
    <t xml:space="preserve">MLB5323824554</t>
  </si>
  <si>
    <t xml:space="preserve">Embalagem Acetato Slice Cake Para Fatia De Bolo - 50un Ref07 Água</t>
  </si>
  <si>
    <t xml:space="preserve">MLB4005333055</t>
  </si>
  <si>
    <t xml:space="preserve">50 Embalagem Acetato Slice Cake Fatia De Bolo Torta Ref07</t>
  </si>
  <si>
    <t xml:space="preserve">MLB5496125514</t>
  </si>
  <si>
    <t xml:space="preserve">Quebra Cabeça 3d Kit Com 10 Modelos Mundo Animal Vol 5 E 6</t>
  </si>
  <si>
    <t xml:space="preserve">MLB4221754981</t>
  </si>
  <si>
    <t xml:space="preserve">Caixa Ref11 Mini Caneca Ou Vela 8x8x8cm Branca 50 Un</t>
  </si>
  <si>
    <t xml:space="preserve">MLB5273763036</t>
  </si>
  <si>
    <t xml:space="preserve">Caixinha Com Visor Para Caneca Sublimatica - 100 Un - Branca</t>
  </si>
  <si>
    <t xml:space="preserve">MLB4918867032</t>
  </si>
  <si>
    <t xml:space="preserve">100 Caixinhas Para Canecas Sublimaticas 325 Ml (branca) Ref08</t>
  </si>
  <si>
    <t xml:space="preserve">MLB3789549963</t>
  </si>
  <si>
    <t xml:space="preserve">100 Caixinhas Para Canecas Porcelana + 100 Reforços De Fundo</t>
  </si>
  <si>
    <t xml:space="preserve">MLB3838331603</t>
  </si>
  <si>
    <t xml:space="preserve">100 Caixa Para Caneca De Sublimação + 100 Reforços De Fundo</t>
  </si>
  <si>
    <t xml:space="preserve">MLB5768592016</t>
  </si>
  <si>
    <t xml:space="preserve">Caixa 8x8x8cm Ref 11 Mini Caneca Vela Lembrancinha 100 Un Branco</t>
  </si>
  <si>
    <t xml:space="preserve">MLB3796571425</t>
  </si>
  <si>
    <t xml:space="preserve">100 Caixa Ref30 Delivery Fastfood Restaurante 15x10x5cm Branco</t>
  </si>
  <si>
    <t xml:space="preserve">MLB3778700440</t>
  </si>
  <si>
    <t xml:space="preserve">Papel Sublimático Obm Power Film Impressão Direta A4 10 Fls Branco</t>
  </si>
  <si>
    <t xml:space="preserve">MLB3789554947</t>
  </si>
  <si>
    <t xml:space="preserve">100 Caixinhas Ref08 Canecas De 325ml + 100 Reforços De Fundo</t>
  </si>
  <si>
    <t xml:space="preserve">MLB2184272291</t>
  </si>
  <si>
    <t xml:space="preserve">Obm Power Film Imperceptível - A4 - 10 Folhas - Novidade! Branco</t>
  </si>
  <si>
    <t xml:space="preserve">MLB4994544724</t>
  </si>
  <si>
    <t xml:space="preserve">50 Caixinhas P/ Canecas 325ml Ref 08 + 50 Reforços De Fundo</t>
  </si>
  <si>
    <t xml:space="preserve">MLB4008461617</t>
  </si>
  <si>
    <t xml:space="preserve">Embalagem Acetato Para Fatia De Bolo Slice Cake Doces - 50un</t>
  </si>
  <si>
    <t xml:space="preserve">MLB3596650919</t>
  </si>
  <si>
    <t xml:space="preserve">Kit 2 Bases De Corte A3 Para Silhouette Cameo + Cola 50g Transparente</t>
  </si>
  <si>
    <t xml:space="preserve">MLB2184266380</t>
  </si>
  <si>
    <t xml:space="preserve">2 Bases De Corte Com Cola A4 Para Silhouette Portrait - 30mm Branco</t>
  </si>
  <si>
    <t xml:space="preserve">MLB3229062916</t>
  </si>
  <si>
    <t xml:space="preserve">Quebra Cabeça - Kit Com 10 Modelos - Evangélicos - Infantil</t>
  </si>
  <si>
    <t xml:space="preserve">MLB3222731704</t>
  </si>
  <si>
    <t xml:space="preserve">Quebra Cabeça - Kit Com 5 Modelos - Bíblicos - Vol 1</t>
  </si>
  <si>
    <t xml:space="preserve">MLB5466384618</t>
  </si>
  <si>
    <t xml:space="preserve">Caixa Com Visor 8x8x8 Para Vela Aromática Mini Caneca 100un Branco</t>
  </si>
  <si>
    <t xml:space="preserve">MLB4141825793</t>
  </si>
  <si>
    <t xml:space="preserve">Caixa Ref27 Branca 25x20x5 - 50un</t>
  </si>
  <si>
    <t xml:space="preserve">MLB4540156097</t>
  </si>
  <si>
    <t xml:space="preserve">50 Embalagem Para Caneca 325ml Presente Brindes Lembrancinha Branco</t>
  </si>
  <si>
    <t xml:space="preserve">MLB2184285603</t>
  </si>
  <si>
    <t xml:space="preserve">Papel Obm A4 Impressão Direta Tecidos Escuros - 10 Folhas A4 Branco</t>
  </si>
  <si>
    <t xml:space="preserve">MLB3353689705</t>
  </si>
  <si>
    <t xml:space="preserve">Jogo Americano Corino - Retangular - 10un + 10 Porta Copos</t>
  </si>
  <si>
    <t xml:space="preserve">MLB2184292222</t>
  </si>
  <si>
    <t xml:space="preserve">3 Bases De Corte Para Silhouette Portrait A4 Sem Cola Branco</t>
  </si>
  <si>
    <t xml:space="preserve">MLB2184248145</t>
  </si>
  <si>
    <t xml:space="preserve">Papel Sublimático Obm Impressão Direta - 10 Folhas A4 Branco</t>
  </si>
  <si>
    <t xml:space="preserve">MLB5065245664</t>
  </si>
  <si>
    <t xml:space="preserve">Caixa Branca 25x20x5 - 50un - Multiuso Reforçada - Ref27</t>
  </si>
  <si>
    <t xml:space="preserve">MLB2184260695</t>
  </si>
  <si>
    <t xml:space="preserve">MLB3859067283</t>
  </si>
  <si>
    <t xml:space="preserve">5 Bases Corte A4 Compatível Silhouette Portrait Cameo Transparente 30 Microns</t>
  </si>
  <si>
    <t xml:space="preserve">MLB4366657689</t>
  </si>
  <si>
    <t xml:space="preserve">40 Caixas Acetato 8x8x8cm Para Doces Brindes Lembrancinhas Transparente</t>
  </si>
  <si>
    <t xml:space="preserve">MLB3236449566</t>
  </si>
  <si>
    <t xml:space="preserve">5 Quebra Cabeça - Com Lindos Temas Cristãos Vol 1  Promoção</t>
  </si>
  <si>
    <t xml:space="preserve">MLB6600248978</t>
  </si>
  <si>
    <t xml:space="preserve">Jogo Americano Elipse Organico Marfim 12un + 12 Porta Copos Palha Jogo Americano Gota Sisal Bege Marfim 12un + 12 Porta Copos</t>
  </si>
  <si>
    <t xml:space="preserve">MLB5496312900</t>
  </si>
  <si>
    <t xml:space="preserve">Base De Corte 50x70 Plotter De Recorte + Refil De Cola 50g Cor Transparente</t>
  </si>
  <si>
    <t xml:space="preserve">MLB2184284908</t>
  </si>
  <si>
    <t xml:space="preserve">Power Film Premium - Azul Royal - Bobina 30cm X 3m Azul</t>
  </si>
  <si>
    <t xml:space="preserve">MLB4266127369</t>
  </si>
  <si>
    <t xml:space="preserve">Power Film Premium Bobina 30cm X 3m - Todas As Cores Cor Verde</t>
  </si>
  <si>
    <t xml:space="preserve">MLB6433898190</t>
  </si>
  <si>
    <t xml:space="preserve">Embalagem Caneca Porcelana Sublimatica 325ml Presente 100un Branco</t>
  </si>
  <si>
    <t xml:space="preserve">MLB2612293965</t>
  </si>
  <si>
    <t xml:space="preserve">2 Esteiras De Corte A4 Com Cola P/máquinas Silhouette - 40mm Branco</t>
  </si>
  <si>
    <t xml:space="preserve">MLB3506051481</t>
  </si>
  <si>
    <t xml:space="preserve">Obm Power Film - Tradicional Ls - A4 - 10 Folhas Branco</t>
  </si>
  <si>
    <t xml:space="preserve">MLB2184253073</t>
  </si>
  <si>
    <t xml:space="preserve">Obm Power Film Tkø - Toque Zero - A4 - 10 Folhas Branco</t>
  </si>
  <si>
    <t xml:space="preserve">MLB3222744022</t>
  </si>
  <si>
    <t xml:space="preserve">Quebra Cabeça - Kit Com 5 Modelos - Bíblicos - Vol 2</t>
  </si>
  <si>
    <t xml:space="preserve">MLB2184272745</t>
  </si>
  <si>
    <t xml:space="preserve">Quebra Cabeça Em Branco - Para Sublimação - Pacote Com 10un</t>
  </si>
  <si>
    <t xml:space="preserve">MLB2612317094</t>
  </si>
  <si>
    <t xml:space="preserve">3 Suportes Adesivo A4 Para Silhouette Portrait E Cameo 30mm</t>
  </si>
  <si>
    <t xml:space="preserve">MLB3329707733</t>
  </si>
  <si>
    <t xml:space="preserve">Kit 8 Protetores Premium De Panelas Pratos E Cerâmicas</t>
  </si>
  <si>
    <t xml:space="preserve">MLB3816592679</t>
  </si>
  <si>
    <t xml:space="preserve">50 Caixas De Presente Retangular Para Camiseta Camisa Social Embaplan</t>
  </si>
  <si>
    <t xml:space="preserve">MLB4597591343</t>
  </si>
  <si>
    <t xml:space="preserve">Jogo Americano Elipse Marfim Organico 8 Peças +  Porta Copos Palha Jogo Americano Gota Sisal Marfim 8un + 8 Porta Copos Para Mesa Posta</t>
  </si>
  <si>
    <t xml:space="preserve">MLB4597604261</t>
  </si>
  <si>
    <t xml:space="preserve">Jogo Americano Elipse Organico Bege 4un + 4 Porta Copos Palha Jogo Americano Gota Sisal Marfim 4un + 4 Porta Copos</t>
  </si>
  <si>
    <t xml:space="preserve">MLB3369953489</t>
  </si>
  <si>
    <t xml:space="preserve">Papel Sublimático Obm Power Film Impressão Direta A4 20 Fls Branco</t>
  </si>
  <si>
    <t xml:space="preserve">MLB2184272794</t>
  </si>
  <si>
    <t xml:space="preserve">Papel Kraft Siliconado 1 Face - A4 - 100 Folhas</t>
  </si>
  <si>
    <t xml:space="preserve">MLB5761299088</t>
  </si>
  <si>
    <t xml:space="preserve">Power Film Premium Bobina 30cm X 3m - Todas As Cores Cor Branco</t>
  </si>
  <si>
    <t xml:space="preserve">MLB2184247489</t>
  </si>
  <si>
    <t xml:space="preserve">Power Film Premium - Laranja - Bobina 0,495x5m Laranja</t>
  </si>
  <si>
    <t xml:space="preserve">MLB2184278478</t>
  </si>
  <si>
    <t xml:space="preserve">Obm Power Film Tkø - Toque Zero - A4 - 50 Folhas Branco</t>
  </si>
  <si>
    <t xml:space="preserve">MLB3684305950</t>
  </si>
  <si>
    <t xml:space="preserve">12 Protetor De Cristais - Anti Lasca E Riscos 4 Tamanhos</t>
  </si>
  <si>
    <t xml:space="preserve">MLB3684400822</t>
  </si>
  <si>
    <t xml:space="preserve">Proteja Seus Utensilios Domésticos8 Guarda Panelas/pratos</t>
  </si>
  <si>
    <t xml:space="preserve">MLB4037491318</t>
  </si>
  <si>
    <t xml:space="preserve">3 Base De Corte Com Cola 30x30cm 40mm Para Silhouette Cameo</t>
  </si>
  <si>
    <t xml:space="preserve">MLB6600285200</t>
  </si>
  <si>
    <t xml:space="preserve">Jogo Americano Gota Elipse Bege Areia 10un + 10 Porta Copos Palha Jogo Americano Gota Sisal Marfim 10un + 10 Porta Copos Para Mesa Posta</t>
  </si>
  <si>
    <t xml:space="preserve">MLB2799066785</t>
  </si>
  <si>
    <t xml:space="preserve">Power Film Total Mask A4 - 10 Fls - Máscara De Transferência Branco</t>
  </si>
  <si>
    <t xml:space="preserve">MLB4314975181</t>
  </si>
  <si>
    <t xml:space="preserve">Base De Corte 30x60cm Transparente Cameo Akikola Para Plotter Silhouette</t>
  </si>
  <si>
    <t xml:space="preserve">MLB3917228947</t>
  </si>
  <si>
    <t xml:space="preserve">100 Placas Capa Agenda A5 15,5x21,5cm Papelão Paraná 1,7mm</t>
  </si>
  <si>
    <t xml:space="preserve">MLB3796524571</t>
  </si>
  <si>
    <t xml:space="preserve">100 Embalagem Delivery Fastfood Restaurante Branco</t>
  </si>
  <si>
    <t xml:space="preserve">MLB3314133747</t>
  </si>
  <si>
    <t xml:space="preserve">Quebra Cabeça Infantil Educativo - Madeira - Temas Bíblicos</t>
  </si>
  <si>
    <t xml:space="preserve">MLB3684357278</t>
  </si>
  <si>
    <t xml:space="preserve">Conjunto P/ Empilhar Pratos Panelas 8 Pcs Protege Embeleza</t>
  </si>
  <si>
    <t xml:space="preserve">MLB3833375259</t>
  </si>
  <si>
    <t xml:space="preserve">25 Embalagem Camisa Doce + 25 Papel Antigordura Ifood</t>
  </si>
  <si>
    <t xml:space="preserve">MLB2681164036</t>
  </si>
  <si>
    <t xml:space="preserve">Obm Power Film Toque Invisível A4 10 Folhas - Obm Sublimação Branco</t>
  </si>
  <si>
    <t xml:space="preserve">MLB4097618011</t>
  </si>
  <si>
    <t xml:space="preserve">Caixa 8x8x8 Branca Com Visor Para Vela Aromática 100 Unidade</t>
  </si>
  <si>
    <t xml:space="preserve">MLB4597662193</t>
  </si>
  <si>
    <t xml:space="preserve">Jogo Americano Elipse Gota Bege Marfim 6 Peças + Porta Copos Palha Jogo Americano Gota Organico Sisal Marfim 6un + 6 Porta Copos Para Mesa Posta</t>
  </si>
  <si>
    <t xml:space="preserve">MLB4378370010</t>
  </si>
  <si>
    <t xml:space="preserve">Mouse Pad P/ Sublimação - Retangular Quadrado Redondo  80un</t>
  </si>
  <si>
    <t xml:space="preserve">MLB2834931767</t>
  </si>
  <si>
    <t xml:space="preserve">Obm Power Film Toque Invisível - A4 - 20 Folhas Branco</t>
  </si>
  <si>
    <t xml:space="preserve">MLB2639558388</t>
  </si>
  <si>
    <t xml:space="preserve">4 Bases De Corte 30x60 C/cola - Para Silhouette Cameo Branco</t>
  </si>
  <si>
    <t xml:space="preserve">MLB5828248968</t>
  </si>
  <si>
    <t xml:space="preserve">3 Esteiras De Corte A4 Com Cola Para Máquinas Silhouette - 30mm Branco</t>
  </si>
  <si>
    <t xml:space="preserve">MLB3658327714</t>
  </si>
  <si>
    <t xml:space="preserve">Jogo Americano Corino Fácil De Limpar- Sisal  - 10un</t>
  </si>
  <si>
    <t xml:space="preserve">MLB6889254674</t>
  </si>
  <si>
    <t xml:space="preserve">6 Bases De Corte A4 Com Cola Para Silhouette - Akikola Transparente</t>
  </si>
  <si>
    <t xml:space="preserve">MLB5788272168</t>
  </si>
  <si>
    <t xml:space="preserve">100 Caixinha Branca 13x8x6 Presente Lembrancinha Delivery Branco</t>
  </si>
  <si>
    <t xml:space="preserve">MLB3610802846</t>
  </si>
  <si>
    <t xml:space="preserve">Quebra Cabeça 3d Infantil Madeira - Animais Dimensionais</t>
  </si>
  <si>
    <t xml:space="preserve">MLB6818566980</t>
  </si>
  <si>
    <t xml:space="preserve">Kit 5 Bases De Corte A4 Com Cola Para Silhouette - Akikola Transparente</t>
  </si>
  <si>
    <t xml:space="preserve">MLB2184230553</t>
  </si>
  <si>
    <t xml:space="preserve">Obm Toque Zero Para Sublimação - A3 - 30 Folhas Branco</t>
  </si>
  <si>
    <t xml:space="preserve">MLB5578771358</t>
  </si>
  <si>
    <t xml:space="preserve">Base De Corte Power Film 30x60 Com Cola Compatível Com Cricut Transparente</t>
  </si>
  <si>
    <t xml:space="preserve">MLB5320432526</t>
  </si>
  <si>
    <t xml:space="preserve">50 Caixa Acetato Transparente 12x11x2,5 Ref07 Lembrancinhas</t>
  </si>
  <si>
    <t xml:space="preserve">MLB2184224492</t>
  </si>
  <si>
    <t xml:space="preserve">5 Bases De Corte Para Silhouette Curio 15x21 Com Cola Branco</t>
  </si>
  <si>
    <t xml:space="preserve">MLB2184272184</t>
  </si>
  <si>
    <t xml:space="preserve">Power Film Premium - Ouro - A4 - 10 Folhas Dourado-escuro</t>
  </si>
  <si>
    <t xml:space="preserve">MLB6507176908</t>
  </si>
  <si>
    <t xml:space="preserve">Power Film Premium A4 Verde Bandeira - 10 Folhas Verde Bandeira</t>
  </si>
  <si>
    <t xml:space="preserve">MLB3333540031</t>
  </si>
  <si>
    <t xml:space="preserve">16 Protetor Premium Para Empilhar Pratos Tigelas Refratários</t>
  </si>
  <si>
    <t xml:space="preserve">MLB3352977603</t>
  </si>
  <si>
    <t xml:space="preserve">Jogo Americano Corino - Retangular - 8un + 8 Porta Copos</t>
  </si>
  <si>
    <t xml:space="preserve">MLB5827167256</t>
  </si>
  <si>
    <t xml:space="preserve">Quebra Cabeça - Kit Com 5 Modelos - Dinossauros - Vol 1</t>
  </si>
  <si>
    <t xml:space="preserve">MLB2184247674</t>
  </si>
  <si>
    <t xml:space="preserve">4 Suportes Adesivos C/ Cola - 30x60 - Para Silhouette Cameo Transparente</t>
  </si>
  <si>
    <t xml:space="preserve">MLB4014023725</t>
  </si>
  <si>
    <t xml:space="preserve">Embalagem Slice Cake Com Celofane Para Fatia De Bolo - 50 Un Transparente</t>
  </si>
  <si>
    <t xml:space="preserve">MLB2184260075</t>
  </si>
  <si>
    <t xml:space="preserve">Obm Power Film Tkø - Toque Zero - A3 - 50 Folhas Branco</t>
  </si>
  <si>
    <t xml:space="preserve">MLB4263525877</t>
  </si>
  <si>
    <t xml:space="preserve">Kit Base Corte 30x60 Powerfilm Brother Scanncut + Cola + 10 Colorplus Branco</t>
  </si>
  <si>
    <t xml:space="preserve">MLB2963165591</t>
  </si>
  <si>
    <t xml:space="preserve">3 Esteiras De Corte 30x30 Compatíveis C/brother Scanncut Cm Branco</t>
  </si>
  <si>
    <t xml:space="preserve">MLB2612317048</t>
  </si>
  <si>
    <t xml:space="preserve">3 Bases De Corte A4 P/papéis De Alta Gramatura - 30mm Branco</t>
  </si>
  <si>
    <t xml:space="preserve">MLB2184259911</t>
  </si>
  <si>
    <t xml:space="preserve">Obm Impressão Direta - Pacote Com 50 Folhas - Tamanho A3 Branco</t>
  </si>
  <si>
    <t xml:space="preserve">MLB3969576897</t>
  </si>
  <si>
    <t xml:space="preserve">Caixa Com Visor Para Caneca De Porcelana 325ml - 50 Unidades</t>
  </si>
  <si>
    <t xml:space="preserve">MLB3684369224</t>
  </si>
  <si>
    <t xml:space="preserve">8 Protetor Premium Para Empilhar Pratos Tigelas Refratários</t>
  </si>
  <si>
    <t xml:space="preserve">MLB2682636852</t>
  </si>
  <si>
    <t xml:space="preserve">Esteira De Corte 30x30 Foison Camy - Com Cola Alta Aderência Branco</t>
  </si>
  <si>
    <t xml:space="preserve">MLB3986739795</t>
  </si>
  <si>
    <t xml:space="preserve">Base De Corte Com Cola 30x30 Power Film Compativel Cricut</t>
  </si>
  <si>
    <t xml:space="preserve">MLB3684332546</t>
  </si>
  <si>
    <t xml:space="preserve">16 Protetor De Cristais - Anti Lasca E Riscos 4 Tamanhos</t>
  </si>
  <si>
    <t xml:space="preserve">MLB2184247461</t>
  </si>
  <si>
    <t xml:space="preserve">Power Film Premium - Rosa - A4 - 10 Folhas Rosa</t>
  </si>
  <si>
    <t xml:space="preserve">MLB6818816880</t>
  </si>
  <si>
    <t xml:space="preserve">Kit 7 Bases De Corte A4 Com Cola Para Silhouette - Akikola Transparente</t>
  </si>
  <si>
    <t xml:space="preserve">MLB2835023161</t>
  </si>
  <si>
    <t xml:space="preserve">Obm Power Film Toque Invisível - A4 - 30 Folhas Branco</t>
  </si>
  <si>
    <t xml:space="preserve">MLB4608732140</t>
  </si>
  <si>
    <t xml:space="preserve">Base De Corte A3 Para Silhouette Cameo - Com Cola Branco</t>
  </si>
  <si>
    <t xml:space="preserve">MLB4631565485</t>
  </si>
  <si>
    <t xml:space="preserve">MLB2184248260</t>
  </si>
  <si>
    <t xml:space="preserve">Papel Kraft Siliconado - 50cmx5m</t>
  </si>
  <si>
    <t xml:space="preserve">MLB3255325411</t>
  </si>
  <si>
    <t xml:space="preserve">Power Film Premium - Bobina 3m - Verde - 1 Un</t>
  </si>
  <si>
    <t xml:space="preserve">MLB2184302605</t>
  </si>
  <si>
    <t xml:space="preserve">Obm Power Film Toque Suave - A4 - 10 Folhas - Novidade! Branco</t>
  </si>
  <si>
    <t xml:space="preserve">MLB2184279045</t>
  </si>
  <si>
    <t xml:space="preserve">Adesivo Refletivo Transfer Power Film - A4 - 10 Folhas Prateado</t>
  </si>
  <si>
    <t xml:space="preserve">MLB4608221724</t>
  </si>
  <si>
    <t xml:space="preserve">Quebra Cabeça - Kit Com 3 Modelos - Bíblicos - Vol 3</t>
  </si>
  <si>
    <t xml:space="preserve">MLB2162748634</t>
  </si>
  <si>
    <t xml:space="preserve">Tapete Adesivo 30x60 Brother Scanncut - 1un Branco</t>
  </si>
  <si>
    <t xml:space="preserve">MLB3797420624</t>
  </si>
  <si>
    <t xml:space="preserve">Quebra Cabeça - Decorativo - Arca De Noé</t>
  </si>
  <si>
    <t xml:space="preserve">MLB2184248763</t>
  </si>
  <si>
    <t xml:space="preserve">Power Film Metallic - Prata - Bobina 0,495x5m Prateado</t>
  </si>
  <si>
    <t xml:space="preserve">MLB2184259403</t>
  </si>
  <si>
    <t xml:space="preserve">Adesivo Decorativo De Parede - Bichos Divertidos - Gigante Branco</t>
  </si>
  <si>
    <t xml:space="preserve">MLB2637954192</t>
  </si>
  <si>
    <t xml:space="preserve">Power Film Sublimático - A4 - Kit 10 Folhas Branco</t>
  </si>
  <si>
    <t xml:space="preserve">MLB3789625995</t>
  </si>
  <si>
    <t xml:space="preserve">Caixinha Para Caneca De Porcelana 325ml - Kit C/ 100 Caixas</t>
  </si>
  <si>
    <t xml:space="preserve">MLB5285054372</t>
  </si>
  <si>
    <t xml:space="preserve">Jogo Americano Corino Sisal Jeans - 4un + 4 Porta Copos</t>
  </si>
  <si>
    <t xml:space="preserve">MLB6918813788</t>
  </si>
  <si>
    <t xml:space="preserve">MLB4998874520</t>
  </si>
  <si>
    <t xml:space="preserve">Caixa De Presente C/20 Unidades 30x22x3 Retangular P/ Roupas</t>
  </si>
  <si>
    <t xml:space="preserve">MLB3352771853</t>
  </si>
  <si>
    <t xml:space="preserve">Jogo Americano Corino - Retangular - 6un + 6 Porta Copos</t>
  </si>
  <si>
    <t xml:space="preserve">MLB4657810216</t>
  </si>
  <si>
    <t xml:space="preserve">Quebra Cabeça Kit Com 3 Modelos Leões</t>
  </si>
  <si>
    <t xml:space="preserve">MLB2184259899</t>
  </si>
  <si>
    <t xml:space="preserve">Mouse Pad Para Sublimação - Gamer - 70x30 - 4 Un Branco</t>
  </si>
  <si>
    <t xml:space="preserve">MLB2184272895</t>
  </si>
  <si>
    <t xml:space="preserve">Obm Power Film Tkø - Toque Zero - A4 - 100 Folhas Branco</t>
  </si>
  <si>
    <t xml:space="preserve">MLB5054982046</t>
  </si>
  <si>
    <t xml:space="preserve">Kit 8 Protetores De Panela E Prato Akikola Bella Cucina Sisal Cereja</t>
  </si>
  <si>
    <t xml:space="preserve">MLB3341839199</t>
  </si>
  <si>
    <t xml:space="preserve">Jogo Americano Corino - Retangular  Muito Fácil Limpar -20un</t>
  </si>
  <si>
    <t xml:space="preserve">MLB2184302673</t>
  </si>
  <si>
    <t xml:space="preserve">2 Suportes Adesivos C Cola A4 Paisagem P Silhouette Portrait Branco</t>
  </si>
  <si>
    <t xml:space="preserve">MLB4646294743</t>
  </si>
  <si>
    <t xml:space="preserve">16 Protetor De Cristais - Anti Lasca E Riscos 4 Tamanhos Cor Branco Lisa</t>
  </si>
  <si>
    <t xml:space="preserve">MLB2184247463</t>
  </si>
  <si>
    <t xml:space="preserve">Power Film Premium - Verde - A4 - 10 Folhas Verde</t>
  </si>
  <si>
    <t xml:space="preserve">MLB4266169507</t>
  </si>
  <si>
    <t xml:space="preserve">Power Film Premium Bobina 30cm X 3m - Todas As Cores Cor Amarelo</t>
  </si>
  <si>
    <t xml:space="preserve">MLB3222743910</t>
  </si>
  <si>
    <t xml:space="preserve">Quebra Cabeça - Kit Com 10 Modelos - Bíblicos</t>
  </si>
  <si>
    <t xml:space="preserve">MLB2184272837</t>
  </si>
  <si>
    <t xml:space="preserve">Papel Obm A3 Impressão Direta Em Tecidos Escuros - 30 Folhas Branco</t>
  </si>
  <si>
    <t xml:space="preserve">MLB3577581857</t>
  </si>
  <si>
    <t xml:space="preserve">Base De Corte Power Film 30x30cm Silhouette Cameo + Refil Cola 50g Transparente</t>
  </si>
  <si>
    <t xml:space="preserve">MLB5194406852</t>
  </si>
  <si>
    <t xml:space="preserve">200 Folhas De Capa Para Agenda Horlle A5+ De 15,5 X 21,5 Cm Cartolina De 1,7 Mm Cor Cinza</t>
  </si>
  <si>
    <t xml:space="preserve">MLB2184247443</t>
  </si>
  <si>
    <t xml:space="preserve">Power Film Premium - Branco - A4 - 10 Folhas Branco</t>
  </si>
  <si>
    <t xml:space="preserve">MLB4959556162</t>
  </si>
  <si>
    <t xml:space="preserve">Power Film Metallic Pink A3 - 5 Folhas</t>
  </si>
  <si>
    <t xml:space="preserve">MLB3658329068</t>
  </si>
  <si>
    <t xml:space="preserve">Power Film Premium - A3 - Várias Cores - 10 Folhas</t>
  </si>
  <si>
    <t xml:space="preserve">MLB2184284796</t>
  </si>
  <si>
    <t xml:space="preserve">Power Film Premium - Vermelho - A3 - 10 Folhas Vermelho</t>
  </si>
  <si>
    <t xml:space="preserve">MLB2184230031</t>
  </si>
  <si>
    <t xml:space="preserve">Power Film Premium - Azul Claro - A3 - 10 Folhas Azul</t>
  </si>
  <si>
    <t xml:space="preserve">MLB3846062544</t>
  </si>
  <si>
    <t xml:space="preserve">Quebra Cabeça - Decorativo - Jesus E As Crianças</t>
  </si>
  <si>
    <t xml:space="preserve">MLB5761529050</t>
  </si>
  <si>
    <t xml:space="preserve">Power Film Premium Bobina 30cm X 3m - Todas As Cores Cor Ouro</t>
  </si>
  <si>
    <t xml:space="preserve">MLB2178984808</t>
  </si>
  <si>
    <t xml:space="preserve">Power Film Premium - A3 - Filme De Recorte - 10 Folhas</t>
  </si>
  <si>
    <t xml:space="preserve">MLB3333594803</t>
  </si>
  <si>
    <t xml:space="preserve">12 Protetor Premium Para Empilhar Pratos Tigelas Refratários</t>
  </si>
  <si>
    <t xml:space="preserve">MLB2184272255</t>
  </si>
  <si>
    <t xml:space="preserve">Combo Obm Power Film Tkø Toque Zero A4 10 + 10 + 10 Branco</t>
  </si>
  <si>
    <t xml:space="preserve">MLB2799011149</t>
  </si>
  <si>
    <t xml:space="preserve">Power Film Total Mask A4 - 20 Fls - Máscara De Transferência Branco</t>
  </si>
  <si>
    <t xml:space="preserve">MLB2184302521</t>
  </si>
  <si>
    <t xml:space="preserve">Power Film Premium - Laranja - A3 - 10 Folhas Laranja</t>
  </si>
  <si>
    <t xml:space="preserve">MLB5054733528</t>
  </si>
  <si>
    <t xml:space="preserve">Caixinha Para Caneca De Porcelana 325ml - Kit Com 100 Caixas</t>
  </si>
  <si>
    <t xml:space="preserve">MLB3789589119</t>
  </si>
  <si>
    <t xml:space="preserve">100 Caixinhas P/ Canecas De Porcelana 325ml Envio Expresso</t>
  </si>
  <si>
    <t xml:space="preserve">MLB4169385768</t>
  </si>
  <si>
    <t xml:space="preserve">Quebra Cabeça 3d Decorativo Dina Girl</t>
  </si>
  <si>
    <t xml:space="preserve">MLB3193691387</t>
  </si>
  <si>
    <t xml:space="preserve">Power Film Premium - A3 - 6 Preto E 6 Branco - 12 Folhas</t>
  </si>
  <si>
    <t xml:space="preserve">MLB2184230009</t>
  </si>
  <si>
    <t xml:space="preserve">Power Film Premium Preto - A3 - 10 Folhas - Filme De Recorte Preto</t>
  </si>
  <si>
    <t xml:space="preserve">MLB2184284866</t>
  </si>
  <si>
    <t xml:space="preserve">Power Film Metallic - Prata - A4 - Pacote Com 10 Folhas</t>
  </si>
  <si>
    <t xml:space="preserve">MLB5496179490</t>
  </si>
  <si>
    <t xml:space="preserve">Quebra Cabeça Kit Com 4 Modelos Floresta Animada</t>
  </si>
  <si>
    <t xml:space="preserve">MLB5320095534</t>
  </si>
  <si>
    <t xml:space="preserve">Caixa Transparente Para Slice Cake  Ref07 - 100un - Doces</t>
  </si>
  <si>
    <t xml:space="preserve">MLB3683381551</t>
  </si>
  <si>
    <t xml:space="preserve">Power Film Premium Bobina 30cm X 3m Verde Bandeira - 1 Un</t>
  </si>
  <si>
    <t xml:space="preserve">MLB6870236814</t>
  </si>
  <si>
    <t xml:space="preserve">Papel Sublimático Power Film A3 Para Impressão Direta Em Tecido Escuro Branco</t>
  </si>
  <si>
    <t xml:space="preserve">MLB3577529625</t>
  </si>
  <si>
    <t xml:space="preserve">Mouse Pad Para Sublimação - Gamer - 70x30 - 1 Un Cor Branco Desenho Impresso Branco</t>
  </si>
  <si>
    <t xml:space="preserve">MLB6258041726</t>
  </si>
  <si>
    <t xml:space="preserve">Caixa Branca Ref04 26x17x5 - 100un Branco</t>
  </si>
  <si>
    <t xml:space="preserve">MLB4221727805</t>
  </si>
  <si>
    <t xml:space="preserve">8 Jogo Americano Chique Couro Sintético Sisal Avelã Marrom Sisal Avelã</t>
  </si>
  <si>
    <t xml:space="preserve">MLB5830843344</t>
  </si>
  <si>
    <t xml:space="preserve">Jogo Americano Corino Redondo Sisal Marfim 8un</t>
  </si>
  <si>
    <t xml:space="preserve">MLB5496204270</t>
  </si>
  <si>
    <t xml:space="preserve">Quebra Cabeça Kit Com 3 Modelos Animais Selvagens</t>
  </si>
  <si>
    <t xml:space="preserve">MLB5690447362</t>
  </si>
  <si>
    <t xml:space="preserve">Quebra Cabeça Kit Com 5 Modelos Mundo Animal Vol 1</t>
  </si>
  <si>
    <t xml:space="preserve">MLB5496126316</t>
  </si>
  <si>
    <t xml:space="preserve">Quebra Cabeça Kit Com 4 Modelos Mundo Animal Vol 3</t>
  </si>
  <si>
    <t xml:space="preserve">MLB5760869556</t>
  </si>
  <si>
    <t xml:space="preserve">Power Film Premium Bobina 30cm X 3m - Todas As Cores Cor Preto</t>
  </si>
  <si>
    <t xml:space="preserve">MLB5744639644</t>
  </si>
  <si>
    <t xml:space="preserve">Filme De Recorte Termocolante Power Film Semibrilho Verde De 50cm X 5 Metros</t>
  </si>
  <si>
    <t xml:space="preserve">MLB5787545672</t>
  </si>
  <si>
    <t xml:space="preserve">6 Jogo Americano Para Mesa - Crok Preto - Lavável</t>
  </si>
  <si>
    <t xml:space="preserve">MLB3193741185</t>
  </si>
  <si>
    <t xml:space="preserve">Power Film Premium - A4 - 6 Preto E 6 Branco - 12 Folhas</t>
  </si>
  <si>
    <t xml:space="preserve">MLB4264184069</t>
  </si>
  <si>
    <t xml:space="preserve">Base De Corte A4 Power Film Standard Tack Para Silhouette Azul-celeste</t>
  </si>
  <si>
    <t xml:space="preserve">MLB3236506567</t>
  </si>
  <si>
    <t xml:space="preserve">5 Quebra Cabeça Didáticos C/lindas Histórias Da Biblia Vol 2</t>
  </si>
  <si>
    <t xml:space="preserve">MLB4392082626</t>
  </si>
  <si>
    <t xml:space="preserve">Mouse Pad P/ Sublimação - Retangular Quadrado Redondo - 30un</t>
  </si>
  <si>
    <t xml:space="preserve">MLB4753976647</t>
  </si>
  <si>
    <t xml:space="preserve">Mouse Pad Para Sublimação - Gamer - Branco - 50un Desenho Impresso Nenhum</t>
  </si>
  <si>
    <t xml:space="preserve">MLB4263463527</t>
  </si>
  <si>
    <t xml:space="preserve">Kit 6 Bases De Corte A3 + 30x30 Power Film Silhouette Cameo 3 Poliéster Transparente</t>
  </si>
  <si>
    <t xml:space="preserve">MLB4966627752</t>
  </si>
  <si>
    <t xml:space="preserve">Quebra Cabeça 3d Kit Com 5 Modelos Mundo Animal Vol 5</t>
  </si>
  <si>
    <t xml:space="preserve">MLB4111099885</t>
  </si>
  <si>
    <t xml:space="preserve">8 Jogo Americano Redondo Bege Areia Magnólia Com Porta Copos</t>
  </si>
  <si>
    <t xml:space="preserve">MLB4212264584</t>
  </si>
  <si>
    <t xml:space="preserve">1 Tapete De Corte Com Cola 30x30 Para Silhouette Cameo Branco</t>
  </si>
  <si>
    <t xml:space="preserve">MLB4223198891</t>
  </si>
  <si>
    <t xml:space="preserve">Power Film Premium: Filme De Recorte Termocolante Branco De 50cm X 5m Para Tecido</t>
  </si>
  <si>
    <t xml:space="preserve">MLB5827278950</t>
  </si>
  <si>
    <t xml:space="preserve">Mouse Pad Para Sublimação - Gamer - 70x30 - 4 Un Branco Nenhum</t>
  </si>
  <si>
    <t xml:space="preserve">MLB3546966569</t>
  </si>
  <si>
    <t xml:space="preserve">Jogo Americano Corino Sisal Mostarda - 50un Cor Amarelo</t>
  </si>
  <si>
    <t xml:space="preserve">MLB4432231833</t>
  </si>
  <si>
    <t xml:space="preserve">2 Base De Corte A4 Com Cola Compatível Silhouette Portrait 4 Água Branco</t>
  </si>
  <si>
    <t xml:space="preserve">MLB2184302509</t>
  </si>
  <si>
    <t xml:space="preserve">Power Film Premium - Vermelho - A4 - Pacote Com 10 Folhas Vermelho</t>
  </si>
  <si>
    <t xml:space="preserve">MLB4615811421</t>
  </si>
  <si>
    <t xml:space="preserve">Pack Com 3 Bases De Corte A4 Powerfilm Para Papéis De Alta Gramatura Branco</t>
  </si>
  <si>
    <t xml:space="preserve">MLB4649187226</t>
  </si>
  <si>
    <t xml:space="preserve">Quebra Cabeça Kit Com 3 Modelos Roedores</t>
  </si>
  <si>
    <t xml:space="preserve">MLB2184253273</t>
  </si>
  <si>
    <t xml:space="preserve">Adesivo Decorativo - Floresta Animada Branco</t>
  </si>
  <si>
    <t xml:space="preserve">MLB2184279224</t>
  </si>
  <si>
    <t xml:space="preserve">Papel Siliconado De Apoio Para Sublimação - 50cmx25m</t>
  </si>
  <si>
    <t xml:space="preserve">MLB4222795975</t>
  </si>
  <si>
    <t xml:space="preserve">Filme De Recorte Termocolante Power Film Preto 50cm X 5 Metros Para Tecidos</t>
  </si>
  <si>
    <t xml:space="preserve">MLB2184247667</t>
  </si>
  <si>
    <t xml:space="preserve">Adesivo Decorativo - Bichos Divertidos - Grande Branco</t>
  </si>
  <si>
    <t xml:space="preserve">MLB4285848118</t>
  </si>
  <si>
    <t xml:space="preserve">Jogo Americano Corino Sisal Mostarda - 6un Amarelo</t>
  </si>
  <si>
    <t xml:space="preserve">MLB4225674697</t>
  </si>
  <si>
    <t xml:space="preserve">Filme De Recorte Termocolante Power Film Amarelo, 50cm X 5 Metros</t>
  </si>
  <si>
    <t xml:space="preserve">MLB6448787928</t>
  </si>
  <si>
    <t xml:space="preserve">Caixa Branca Ref04 26x17x5 - 500un Branco</t>
  </si>
  <si>
    <t xml:space="preserve">MLB3397058039</t>
  </si>
  <si>
    <t xml:space="preserve">Quebra Cabeça - Decorativo - Três Reis Magos</t>
  </si>
  <si>
    <t xml:space="preserve">MLB6012733324</t>
  </si>
  <si>
    <t xml:space="preserve">Pack Com 5 Bases De Corte 15x21 Cm Para Silhouette Curio Branco</t>
  </si>
  <si>
    <t xml:space="preserve">MLB5031614480</t>
  </si>
  <si>
    <t xml:space="preserve">50 Caixa Embalagem Presente + 50 Papel Proteção Entrega</t>
  </si>
  <si>
    <t xml:space="preserve">MLB5744438752</t>
  </si>
  <si>
    <t xml:space="preserve">Filme De Recorte Power Film Premium Semibrilho Prata P/ , 50cm X 5 Metros</t>
  </si>
  <si>
    <t xml:space="preserve">MLB2184278625</t>
  </si>
  <si>
    <t xml:space="preserve">Power Film Premium - Branco - A3 - 10 Folhas Branco</t>
  </si>
  <si>
    <t xml:space="preserve">MLB5760058592</t>
  </si>
  <si>
    <t xml:space="preserve">Power Film Premium Bobina 30cm X 3m - Todas As Cores Cor Rosa</t>
  </si>
  <si>
    <t xml:space="preserve">MLB5761852918</t>
  </si>
  <si>
    <t xml:space="preserve">Power Film Premium Bobina 30cm X 3m - Todas As Cores Cor Laranja</t>
  </si>
  <si>
    <t xml:space="preserve">MLB2184266063</t>
  </si>
  <si>
    <t xml:space="preserve">Obm Power Film Super Fino - A4 - 10 Folhas - Incrível! Branco</t>
  </si>
  <si>
    <t xml:space="preserve">MLB3840766888</t>
  </si>
  <si>
    <t xml:space="preserve">Quebra Cabeça 3d Decorativo Dino Rock</t>
  </si>
  <si>
    <t xml:space="preserve">MLB3967538986</t>
  </si>
  <si>
    <t xml:space="preserve">Quebra Cabeça - Decorativo - Davi E Golias</t>
  </si>
  <si>
    <t xml:space="preserve">MLB4223400523</t>
  </si>
  <si>
    <t xml:space="preserve">Filme De Recorte Termocolante Power Film Premium Dourado Semibrilho 50cm X 5 Metros Ouro</t>
  </si>
  <si>
    <t xml:space="preserve">MLB3771857023</t>
  </si>
  <si>
    <t xml:space="preserve">Quebra Cabeça Kit Com 5 Modelos Cachorros - Vol 2</t>
  </si>
  <si>
    <t xml:space="preserve">MLB4072734957</t>
  </si>
  <si>
    <t xml:space="preserve">Quebra Cabeça Kit Com 4 Modelos Cachorros - Vol 4</t>
  </si>
  <si>
    <t xml:space="preserve">MLB5761239304</t>
  </si>
  <si>
    <t xml:space="preserve">Power Film Premium Bobina 30cm X 3m - Todas As Cores Cor Azul-marinho</t>
  </si>
  <si>
    <t xml:space="preserve">MLB5759635412</t>
  </si>
  <si>
    <t xml:space="preserve">Power Film Premium Bobina 30cm X 3m - Todas As Cores Cor Prata</t>
  </si>
  <si>
    <t xml:space="preserve">MLB4000958914</t>
  </si>
  <si>
    <t xml:space="preserve">Quebra Cabeça 3d Decorativo Dino Baby</t>
  </si>
  <si>
    <t xml:space="preserve">MLB4264653699</t>
  </si>
  <si>
    <t xml:space="preserve">Power Film Premium Bobina 30cm X 3m - Todas As Cores Cor Azul-claro</t>
  </si>
  <si>
    <t xml:space="preserve">MLB4173905664</t>
  </si>
  <si>
    <t xml:space="preserve">Mouse Pad Em Branco Para Sublimação - Retangular - 20 Un</t>
  </si>
  <si>
    <t xml:space="preserve">MLB5788733540</t>
  </si>
  <si>
    <t xml:space="preserve">Filme Refletivo Termocolante A4 P/ Uniformes-power Film 5f</t>
  </si>
  <si>
    <t xml:space="preserve">MLB5828162418</t>
  </si>
  <si>
    <t xml:space="preserve">Filme De Recorte Termocolante Power Film Azul-claro 50cm X 5m Para Tecidos</t>
  </si>
  <si>
    <t xml:space="preserve">MLB4543395633</t>
  </si>
  <si>
    <t xml:space="preserve">50 Embalagem Cinta Para Ovo De Pascoa Lembrancinha Brindes</t>
  </si>
  <si>
    <t xml:space="preserve">MLB4072733581</t>
  </si>
  <si>
    <t xml:space="preserve">Quebra-cabeça Infantil Com 3 Modelos De Cachorros Akikola</t>
  </si>
  <si>
    <t xml:space="preserve">MLB5828670784</t>
  </si>
  <si>
    <t xml:space="preserve">Filme De Recorte Termocolante Power Film Premium Azul Royal 50cm X 5 Metros</t>
  </si>
  <si>
    <t xml:space="preserve">MLB5729433714</t>
  </si>
  <si>
    <t xml:space="preserve">Filme De Recorte Termocolante Power Film Vermelho P/ Tecido 50cm X 5m</t>
  </si>
  <si>
    <t xml:space="preserve">MLB4309156038</t>
  </si>
  <si>
    <t xml:space="preserve">Jogo Americano Corino Sisal Mostarda - 4un Amarelo</t>
  </si>
  <si>
    <t xml:space="preserve">MLB4328968006</t>
  </si>
  <si>
    <t xml:space="preserve">Esteira De Corte 30x30 Para Brother Scanncut - 1un Cor Branco</t>
  </si>
  <si>
    <t xml:space="preserve">MLB5640806262</t>
  </si>
  <si>
    <t xml:space="preserve">1 Base De Corte A4 Com Cola Para Portrait 4 + Refil Cola 50g</t>
  </si>
  <si>
    <t xml:space="preserve">MLB5761176406</t>
  </si>
  <si>
    <t xml:space="preserve">Power Film Premium Bobina 30cm X 3m - Todas As Cores Cor Vermelho</t>
  </si>
  <si>
    <t xml:space="preserve">MLB6486560594</t>
  </si>
  <si>
    <t xml:space="preserve">100 Embalagem Cinta Para Ovo De Pascoa Lembrancinha Brindes</t>
  </si>
  <si>
    <t xml:space="preserve">MLB3634023954</t>
  </si>
  <si>
    <t xml:space="preserve">Jogo Americano Corino Fácil De Limpar - Mosaico - 4un</t>
  </si>
  <si>
    <t xml:space="preserve">MLB6887715570</t>
  </si>
  <si>
    <t xml:space="preserve">2 Esteira De Corte A4 Para Silhouette Portrait - 40mm Branco</t>
  </si>
  <si>
    <t xml:space="preserve">MLB4298617336</t>
  </si>
  <si>
    <t xml:space="preserve">Quebra-cabeça 3d Akikola De 103 Peças</t>
  </si>
  <si>
    <t xml:space="preserve">MLB4432141545</t>
  </si>
  <si>
    <t xml:space="preserve">Base De Corte 30x30 Power Film Silhouette Cameo Cola Médio Tack Branco</t>
  </si>
  <si>
    <t xml:space="preserve">MLB2184302706</t>
  </si>
  <si>
    <t xml:space="preserve">Autocolante Decorativo - Bichos Divertidos - Grande Azul-claro</t>
  </si>
  <si>
    <t xml:space="preserve">MLB5743238882</t>
  </si>
  <si>
    <t xml:space="preserve">Filme De Recorte Power Film Semibrilho, Azul-marinho De 50cm X 5 Metros</t>
  </si>
  <si>
    <t xml:space="preserve">MLB5496392930</t>
  </si>
  <si>
    <t xml:space="preserve">Papelão Cinza A6 Power Film 50 Placas 1.9mm 14.8x10.5cm Encadernação - Papelão Holler Capa Dura</t>
  </si>
  <si>
    <t xml:space="preserve">MLB5640753890</t>
  </si>
  <si>
    <t xml:space="preserve">2 Bases De Corte Com Cola A4 Para Silhouette Portrait 4</t>
  </si>
  <si>
    <t xml:space="preserve">MLB3533835099</t>
  </si>
  <si>
    <t xml:space="preserve">Jogo Americano Corino Roma Bordô - 8un Geométrico</t>
  </si>
  <si>
    <t xml:space="preserve">MLB5788582060</t>
  </si>
  <si>
    <t xml:space="preserve">Autocolante Decorativo - Floresta Animada Verde</t>
  </si>
  <si>
    <t xml:space="preserve">MLB2184302547</t>
  </si>
  <si>
    <t xml:space="preserve">Autocolante Decorativo - Bichos Divertidos - Médio Azul-claro</t>
  </si>
  <si>
    <t xml:space="preserve">MLB2184247505</t>
  </si>
  <si>
    <t xml:space="preserve">Adesivo Decorativo - Bichos Divertidos - Médio Branco</t>
  </si>
  <si>
    <t xml:space="preserve">MLB4232091921</t>
  </si>
  <si>
    <t xml:space="preserve">Power Film Premium Bobina 30cm X 3m - Todas As Cores Cor Azul Royal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</si>
</sst>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%"/>
    <numFmt numFmtId="166" formatCode="&quot;R$ &quot;#,##0.00"/>
    <numFmt numFmtId="167" formatCode="[$R$-416]\ #,##0.00;[RED]\-[$R$-416]\ #,##0.00"/>
    <numFmt numFmtId="168" formatCode="#,##0"/>
  </numFmts>
  <fonts count="9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C9211E"/>
      <name val="Calibri"/>
      <family val="2"/>
      <charset val="1"/>
    </font>
    <font>
      <b val="true"/>
      <sz val="11"/>
      <name val="Calibri"/>
      <family val="0"/>
      <charset val="1"/>
    </font>
    <font>
      <b val="true"/>
      <sz val="11"/>
      <color rgb="FFC9211E"/>
      <name val="Calibri"/>
      <family val="0"/>
      <charset val="1"/>
    </font>
    <font>
      <b val="true"/>
      <sz val="11"/>
      <color rgb="FFC9211E"/>
      <name val="Calibri"/>
      <family val="2"/>
      <charset val="1"/>
    </font>
    <font>
      <b val="true"/>
      <sz val="11"/>
      <color rgb="FF00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EEEEEE"/>
        <bgColor rgb="FFFFFFCC"/>
      </patternFill>
    </fill>
    <fill>
      <patternFill patternType="solid">
        <fgColor rgb="FFB9CDE5"/>
        <bgColor rgb="FFC0C0C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7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7" fontId="5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8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EEEE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9CD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V276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E1" activeCellId="0" sqref="E:E"/>
    </sheetView>
  </sheetViews>
  <sheetFormatPr defaultColWidth="8.6953125" defaultRowHeight="13.8" zeroHeight="false" outlineLevelRow="0" outlineLevelCol="0"/>
  <cols>
    <col collapsed="false" customWidth="true" hidden="false" outlineLevel="0" max="1" min="1" style="0" width="4.32"/>
    <col collapsed="false" customWidth="true" hidden="false" outlineLevel="0" max="2" min="2" style="1" width="7.26"/>
    <col collapsed="false" customWidth="true" hidden="false" outlineLevel="0" max="3" min="3" style="2" width="8.03"/>
    <col collapsed="false" customWidth="true" hidden="false" outlineLevel="0" max="4" min="4" style="0" width="16.06"/>
    <col collapsed="false" customWidth="true" hidden="false" outlineLevel="0" max="5" min="5" style="1" width="61.91"/>
    <col collapsed="false" customWidth="true" hidden="false" outlineLevel="0" max="6" min="6" style="1" width="12.5"/>
    <col collapsed="false" customWidth="true" hidden="false" outlineLevel="0" max="7" min="7" style="1" width="7.57"/>
    <col collapsed="false" customWidth="true" hidden="false" outlineLevel="0" max="8" min="8" style="3" width="7"/>
    <col collapsed="false" customWidth="true" hidden="false" outlineLevel="0" max="9" min="9" style="1" width="13.89"/>
    <col collapsed="false" customWidth="true" hidden="false" outlineLevel="0" max="10" min="10" style="4" width="10.96"/>
    <col collapsed="false" customWidth="true" hidden="false" outlineLevel="0" max="11" min="11" style="1" width="10.96"/>
    <col collapsed="false" customWidth="true" hidden="false" outlineLevel="0" max="12" min="12" style="1" width="11.88"/>
    <col collapsed="false" customWidth="true" hidden="false" outlineLevel="0" max="13" min="13" style="5" width="14.2"/>
    <col collapsed="false" customWidth="true" hidden="false" outlineLevel="0" max="14" min="14" style="5" width="11.57"/>
    <col collapsed="false" customWidth="true" hidden="false" outlineLevel="0" max="15" min="15" style="3" width="8.94"/>
    <col collapsed="false" customWidth="true" hidden="false" outlineLevel="0" max="17" min="16" style="2" width="9.41"/>
    <col collapsed="false" customWidth="true" hidden="false" outlineLevel="0" max="18" min="18" style="2" width="12.19"/>
    <col collapsed="false" customWidth="true" hidden="false" outlineLevel="0" max="19" min="19" style="0" width="11.88"/>
    <col collapsed="false" customWidth="true" hidden="false" outlineLevel="0" max="20" min="20" style="0" width="11.57"/>
    <col collapsed="false" customWidth="true" hidden="false" outlineLevel="0" max="21" min="21" style="0" width="10.49"/>
    <col collapsed="false" customWidth="true" hidden="false" outlineLevel="0" max="22" min="22" style="0" width="9.72"/>
  </cols>
  <sheetData>
    <row r="1" customFormat="false" ht="13.8" hidden="false" customHeight="false" outlineLevel="0" collapsed="false">
      <c r="A1" s="6" t="s">
        <v>0</v>
      </c>
      <c r="B1" s="6" t="s">
        <v>1</v>
      </c>
      <c r="C1" s="7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8" t="s">
        <v>7</v>
      </c>
      <c r="I1" s="6" t="s">
        <v>8</v>
      </c>
      <c r="J1" s="9" t="s">
        <v>9</v>
      </c>
      <c r="K1" s="6" t="s">
        <v>10</v>
      </c>
      <c r="L1" s="6" t="s">
        <v>11</v>
      </c>
      <c r="M1" s="10" t="s">
        <v>12</v>
      </c>
      <c r="N1" s="11" t="s">
        <v>13</v>
      </c>
      <c r="O1" s="8" t="s">
        <v>14</v>
      </c>
      <c r="P1" s="12" t="s">
        <v>15</v>
      </c>
      <c r="Q1" s="12" t="s">
        <v>16</v>
      </c>
      <c r="R1" s="12" t="s">
        <v>17</v>
      </c>
      <c r="S1" s="13" t="s">
        <v>18</v>
      </c>
      <c r="T1" s="14" t="s">
        <v>19</v>
      </c>
      <c r="U1" s="13" t="s">
        <v>20</v>
      </c>
      <c r="V1" s="13" t="s">
        <v>21</v>
      </c>
    </row>
    <row r="2" customFormat="false" ht="13.8" hidden="false" customHeight="false" outlineLevel="0" collapsed="false">
      <c r="A2" s="0" t="n">
        <v>1</v>
      </c>
      <c r="B2" s="1" t="s">
        <v>22</v>
      </c>
      <c r="C2" s="2" t="s">
        <v>23</v>
      </c>
      <c r="D2" s="0" t="s">
        <v>24</v>
      </c>
      <c r="E2" s="1" t="s">
        <v>25</v>
      </c>
      <c r="F2" s="1" t="n">
        <v>546170</v>
      </c>
      <c r="G2" s="1" t="n">
        <v>4170</v>
      </c>
      <c r="H2" s="3" t="n">
        <v>0.0076</v>
      </c>
      <c r="I2" s="1" t="n">
        <v>194</v>
      </c>
      <c r="J2" s="4" t="n">
        <v>7.95175257731959</v>
      </c>
      <c r="K2" s="15" t="n">
        <v>0.0465</v>
      </c>
      <c r="L2" s="1" t="n">
        <v>194</v>
      </c>
      <c r="M2" s="5" t="n">
        <v>12777.56</v>
      </c>
      <c r="N2" s="5" t="n">
        <v>1542.64</v>
      </c>
      <c r="O2" s="3" t="n">
        <v>0.1207</v>
      </c>
      <c r="S2" s="16" t="n">
        <v>0.3</v>
      </c>
      <c r="T2" s="17" t="n">
        <f aca="false">+S2*(M2-J2-N2)</f>
        <v>3368.0904742268</v>
      </c>
      <c r="U2" s="16" t="n">
        <f aca="false">+T2/M2</f>
        <v>0.263594181849023</v>
      </c>
      <c r="V2" s="18" t="n">
        <f aca="false">+T2*U2</f>
        <v>887.809052947303</v>
      </c>
    </row>
    <row r="3" customFormat="false" ht="13.8" hidden="false" customHeight="false" outlineLevel="0" collapsed="false">
      <c r="A3" s="0" t="n">
        <f aca="false">+1+A2</f>
        <v>2</v>
      </c>
      <c r="B3" s="1" t="s">
        <v>22</v>
      </c>
      <c r="C3" s="2" t="s">
        <v>23</v>
      </c>
      <c r="D3" s="0" t="s">
        <v>26</v>
      </c>
      <c r="E3" s="1" t="s">
        <v>27</v>
      </c>
      <c r="F3" s="1" t="n">
        <v>424826</v>
      </c>
      <c r="G3" s="1" t="n">
        <v>2038</v>
      </c>
      <c r="H3" s="3" t="n">
        <v>0.0048</v>
      </c>
      <c r="I3" s="1" t="n">
        <v>146</v>
      </c>
      <c r="J3" s="4" t="n">
        <v>7.61739726027397</v>
      </c>
      <c r="K3" s="15" t="n">
        <v>0.0716</v>
      </c>
      <c r="L3" s="1" t="n">
        <v>146</v>
      </c>
      <c r="M3" s="5" t="n">
        <v>9930.74</v>
      </c>
      <c r="N3" s="5" t="n">
        <v>1112.14</v>
      </c>
      <c r="O3" s="3" t="n">
        <v>0.112</v>
      </c>
      <c r="S3" s="16" t="n">
        <v>0.3</v>
      </c>
      <c r="T3" s="17" t="n">
        <f aca="false">+S3*(M3-J3-N3)</f>
        <v>2643.29478082192</v>
      </c>
      <c r="U3" s="16" t="n">
        <f aca="false">+T3/M3</f>
        <v>0.266172992226351</v>
      </c>
      <c r="V3" s="18" t="n">
        <f aca="false">+T3*U3</f>
        <v>703.573681147668</v>
      </c>
    </row>
    <row r="4" customFormat="false" ht="13.8" hidden="false" customHeight="false" outlineLevel="0" collapsed="false">
      <c r="A4" s="0" t="n">
        <f aca="false">+1+A3</f>
        <v>3</v>
      </c>
      <c r="B4" s="1" t="s">
        <v>22</v>
      </c>
      <c r="C4" s="2" t="s">
        <v>23</v>
      </c>
      <c r="D4" s="0" t="s">
        <v>28</v>
      </c>
      <c r="E4" s="1" t="s">
        <v>29</v>
      </c>
      <c r="F4" s="1" t="n">
        <v>355049</v>
      </c>
      <c r="G4" s="1" t="n">
        <v>928</v>
      </c>
      <c r="H4" s="3" t="n">
        <v>0.0026</v>
      </c>
      <c r="I4" s="1" t="n">
        <v>41</v>
      </c>
      <c r="J4" s="4" t="n">
        <v>13.459756097561</v>
      </c>
      <c r="K4" s="15" t="n">
        <v>0.0442</v>
      </c>
      <c r="L4" s="1" t="n">
        <v>41</v>
      </c>
      <c r="M4" s="5" t="n">
        <v>2611.48</v>
      </c>
      <c r="N4" s="5" t="n">
        <v>551.85</v>
      </c>
      <c r="O4" s="3" t="n">
        <v>0.2113</v>
      </c>
      <c r="S4" s="16" t="n">
        <v>0.3</v>
      </c>
      <c r="T4" s="17" t="n">
        <f aca="false">+S4*(M4-J4-N4)</f>
        <v>613.851073170732</v>
      </c>
      <c r="U4" s="16" t="n">
        <f aca="false">+T4/M4</f>
        <v>0.235058692071443</v>
      </c>
      <c r="V4" s="18" t="n">
        <f aca="false">+T4*U4</f>
        <v>144.291030386164</v>
      </c>
    </row>
    <row r="5" customFormat="false" ht="13.8" hidden="false" customHeight="false" outlineLevel="0" collapsed="false">
      <c r="A5" s="0" t="n">
        <f aca="false">+1+A4</f>
        <v>4</v>
      </c>
      <c r="B5" s="1" t="s">
        <v>22</v>
      </c>
      <c r="C5" s="2" t="s">
        <v>23</v>
      </c>
      <c r="D5" s="0" t="s">
        <v>30</v>
      </c>
      <c r="E5" s="1" t="s">
        <v>31</v>
      </c>
      <c r="F5" s="1" t="n">
        <v>354228</v>
      </c>
      <c r="G5" s="1" t="n">
        <v>964</v>
      </c>
      <c r="H5" s="3" t="n">
        <v>0.0027</v>
      </c>
      <c r="I5" s="1" t="n">
        <v>64</v>
      </c>
      <c r="J5" s="4" t="n">
        <v>6.20125</v>
      </c>
      <c r="K5" s="15" t="n">
        <v>0.0664</v>
      </c>
      <c r="L5" s="1" t="n">
        <v>64</v>
      </c>
      <c r="M5" s="5" t="n">
        <v>3660.77</v>
      </c>
      <c r="N5" s="5" t="n">
        <v>396.88</v>
      </c>
      <c r="O5" s="3" t="n">
        <v>0.1084</v>
      </c>
      <c r="S5" s="16" t="n">
        <v>0.3</v>
      </c>
      <c r="T5" s="17" t="n">
        <f aca="false">+S5*(M5-J5-N5)</f>
        <v>977.306625</v>
      </c>
      <c r="U5" s="16" t="n">
        <f aca="false">+T5/M5</f>
        <v>0.266967502738495</v>
      </c>
      <c r="V5" s="18" t="n">
        <f aca="false">+T5*U5</f>
        <v>260.909109086037</v>
      </c>
    </row>
    <row r="6" customFormat="false" ht="13.8" hidden="false" customHeight="false" outlineLevel="0" collapsed="false">
      <c r="A6" s="0" t="n">
        <f aca="false">+1+A5</f>
        <v>5</v>
      </c>
      <c r="B6" s="1" t="s">
        <v>22</v>
      </c>
      <c r="C6" s="2" t="s">
        <v>23</v>
      </c>
      <c r="D6" s="0" t="s">
        <v>28</v>
      </c>
      <c r="E6" s="1" t="s">
        <v>29</v>
      </c>
      <c r="F6" s="1" t="n">
        <v>330703</v>
      </c>
      <c r="G6" s="1" t="n">
        <v>572</v>
      </c>
      <c r="H6" s="3" t="n">
        <v>0.0017</v>
      </c>
      <c r="I6" s="1" t="n">
        <v>30</v>
      </c>
      <c r="J6" s="4" t="n">
        <v>10.9183333333333</v>
      </c>
      <c r="K6" s="15" t="n">
        <v>0.0524</v>
      </c>
      <c r="L6" s="1" t="n">
        <v>30</v>
      </c>
      <c r="M6" s="5" t="n">
        <v>2101.69</v>
      </c>
      <c r="N6" s="5" t="n">
        <v>327.55</v>
      </c>
      <c r="O6" s="3" t="n">
        <v>0.1559</v>
      </c>
      <c r="S6" s="16" t="n">
        <v>0.3</v>
      </c>
      <c r="T6" s="17" t="n">
        <f aca="false">+S6*(M6-J6-N6)</f>
        <v>528.9665</v>
      </c>
      <c r="U6" s="16" t="n">
        <f aca="false">+T6/M6</f>
        <v>0.251686262008193</v>
      </c>
      <c r="V6" s="18" t="n">
        <f aca="false">+T6*U6</f>
        <v>133.133601112557</v>
      </c>
    </row>
    <row r="7" customFormat="false" ht="13.8" hidden="false" customHeight="false" outlineLevel="0" collapsed="false">
      <c r="A7" s="0" t="n">
        <f aca="false">+1+A6</f>
        <v>6</v>
      </c>
      <c r="B7" s="1" t="s">
        <v>22</v>
      </c>
      <c r="C7" s="2" t="s">
        <v>23</v>
      </c>
      <c r="D7" s="0" t="s">
        <v>32</v>
      </c>
      <c r="E7" s="1" t="s">
        <v>33</v>
      </c>
      <c r="F7" s="1" t="n">
        <v>307600</v>
      </c>
      <c r="G7" s="1" t="n">
        <v>981</v>
      </c>
      <c r="H7" s="3" t="n">
        <v>0.0032</v>
      </c>
      <c r="I7" s="1" t="n">
        <v>70</v>
      </c>
      <c r="J7" s="4" t="n">
        <v>5.40614285714286</v>
      </c>
      <c r="K7" s="15" t="n">
        <v>0.0714</v>
      </c>
      <c r="L7" s="1" t="n">
        <v>70</v>
      </c>
      <c r="M7" s="5" t="n">
        <v>5006.34</v>
      </c>
      <c r="N7" s="5" t="n">
        <v>378.43</v>
      </c>
      <c r="O7" s="3" t="n">
        <v>0.0756</v>
      </c>
      <c r="S7" s="16" t="n">
        <v>0.3</v>
      </c>
      <c r="T7" s="17" t="n">
        <f aca="false">+S7*(M7-J7-N7)</f>
        <v>1386.75115714286</v>
      </c>
      <c r="U7" s="16" t="n">
        <f aca="false">+T7/M7</f>
        <v>0.276998996700755</v>
      </c>
      <c r="V7" s="18" t="n">
        <f aca="false">+T7*U7</f>
        <v>384.128679202182</v>
      </c>
    </row>
    <row r="8" customFormat="false" ht="13.8" hidden="false" customHeight="false" outlineLevel="0" collapsed="false">
      <c r="A8" s="0" t="n">
        <f aca="false">+1+A7</f>
        <v>7</v>
      </c>
      <c r="B8" s="1" t="s">
        <v>22</v>
      </c>
      <c r="C8" s="2" t="s">
        <v>23</v>
      </c>
      <c r="D8" s="0" t="s">
        <v>34</v>
      </c>
      <c r="E8" s="1" t="s">
        <v>35</v>
      </c>
      <c r="F8" s="1" t="n">
        <v>290557</v>
      </c>
      <c r="G8" s="1" t="n">
        <v>488</v>
      </c>
      <c r="H8" s="3" t="n">
        <v>0.0017</v>
      </c>
      <c r="I8" s="1" t="n">
        <v>60</v>
      </c>
      <c r="J8" s="4" t="n">
        <v>11.7666666666667</v>
      </c>
      <c r="K8" s="15" t="n">
        <v>0.1229</v>
      </c>
      <c r="L8" s="1" t="n">
        <v>60</v>
      </c>
      <c r="M8" s="5" t="n">
        <v>3774.19</v>
      </c>
      <c r="N8" s="5" t="n">
        <v>706</v>
      </c>
      <c r="O8" s="3" t="n">
        <v>0.1871</v>
      </c>
      <c r="S8" s="16" t="n">
        <v>0.3</v>
      </c>
      <c r="T8" s="17" t="n">
        <f aca="false">+S8*(M8-J8-N8)</f>
        <v>916.927</v>
      </c>
      <c r="U8" s="16" t="n">
        <f aca="false">+T8/M8</f>
        <v>0.242946698496896</v>
      </c>
      <c r="V8" s="18" t="n">
        <f aca="false">+T8*U8</f>
        <v>222.764387412663</v>
      </c>
    </row>
    <row r="9" customFormat="false" ht="13.8" hidden="false" customHeight="false" outlineLevel="0" collapsed="false">
      <c r="A9" s="0" t="n">
        <f aca="false">+1+A8</f>
        <v>8</v>
      </c>
      <c r="B9" s="1" t="s">
        <v>22</v>
      </c>
      <c r="C9" s="2" t="s">
        <v>23</v>
      </c>
      <c r="D9" s="0" t="s">
        <v>36</v>
      </c>
      <c r="E9" s="1" t="s">
        <v>37</v>
      </c>
      <c r="F9" s="1" t="n">
        <v>263854</v>
      </c>
      <c r="G9" s="1" t="n">
        <v>697</v>
      </c>
      <c r="H9" s="3" t="n">
        <v>0.0026</v>
      </c>
      <c r="I9" s="1" t="n">
        <v>51</v>
      </c>
      <c r="J9" s="4" t="n">
        <v>4.28588235294118</v>
      </c>
      <c r="K9" s="15" t="n">
        <v>0.0732</v>
      </c>
      <c r="L9" s="1" t="n">
        <v>51</v>
      </c>
      <c r="M9" s="5" t="n">
        <v>3762.97</v>
      </c>
      <c r="N9" s="5" t="n">
        <v>218.58</v>
      </c>
      <c r="O9" s="3" t="n">
        <v>0.0581</v>
      </c>
      <c r="S9" s="16" t="n">
        <v>0.3</v>
      </c>
      <c r="T9" s="17" t="n">
        <f aca="false">+S9*(M9-J9-N9)</f>
        <v>1062.03123529412</v>
      </c>
      <c r="U9" s="16" t="n">
        <f aca="false">+T9/M9</f>
        <v>0.28223218237034</v>
      </c>
      <c r="V9" s="18" t="n">
        <f aca="false">+T9*U9</f>
        <v>299.739393282527</v>
      </c>
    </row>
    <row r="10" customFormat="false" ht="13.8" hidden="false" customHeight="false" outlineLevel="0" collapsed="false">
      <c r="A10" s="0" t="n">
        <f aca="false">+1+A9</f>
        <v>9</v>
      </c>
      <c r="B10" s="1" t="s">
        <v>22</v>
      </c>
      <c r="C10" s="2" t="s">
        <v>23</v>
      </c>
      <c r="D10" s="0" t="s">
        <v>38</v>
      </c>
      <c r="E10" s="1" t="s">
        <v>39</v>
      </c>
      <c r="F10" s="1" t="n">
        <v>232833</v>
      </c>
      <c r="G10" s="1" t="n">
        <v>727</v>
      </c>
      <c r="H10" s="3" t="n">
        <v>0.0031</v>
      </c>
      <c r="I10" s="1" t="n">
        <v>62</v>
      </c>
      <c r="J10" s="4" t="n">
        <v>4.00838709677419</v>
      </c>
      <c r="K10" s="15" t="n">
        <v>0.0853</v>
      </c>
      <c r="L10" s="1" t="n">
        <v>62</v>
      </c>
      <c r="M10" s="5" t="n">
        <v>4440.44</v>
      </c>
      <c r="N10" s="5" t="n">
        <v>248.52</v>
      </c>
      <c r="O10" s="3" t="n">
        <v>0.056</v>
      </c>
      <c r="S10" s="16" t="n">
        <v>0.3</v>
      </c>
      <c r="T10" s="17" t="n">
        <f aca="false">+S10*(M10-J10-N10)</f>
        <v>1256.37348387097</v>
      </c>
      <c r="U10" s="16" t="n">
        <f aca="false">+T10/M10</f>
        <v>0.282938961875618</v>
      </c>
      <c r="V10" s="18" t="n">
        <f aca="false">+T10*U10</f>
        <v>355.477009254504</v>
      </c>
    </row>
    <row r="11" customFormat="false" ht="13.8" hidden="false" customHeight="false" outlineLevel="0" collapsed="false">
      <c r="A11" s="0" t="n">
        <f aca="false">+1+A10</f>
        <v>10</v>
      </c>
      <c r="B11" s="1" t="s">
        <v>22</v>
      </c>
      <c r="C11" s="2" t="s">
        <v>23</v>
      </c>
      <c r="D11" s="0" t="s">
        <v>40</v>
      </c>
      <c r="E11" s="1" t="s">
        <v>41</v>
      </c>
      <c r="F11" s="1" t="n">
        <v>209787</v>
      </c>
      <c r="G11" s="1" t="n">
        <v>879</v>
      </c>
      <c r="H11" s="3" t="n">
        <v>0.0042</v>
      </c>
      <c r="I11" s="1" t="n">
        <v>104</v>
      </c>
      <c r="J11" s="4" t="n">
        <v>5.18019230769231</v>
      </c>
      <c r="K11" s="15" t="n">
        <v>0.1183</v>
      </c>
      <c r="L11" s="1" t="n">
        <v>104</v>
      </c>
      <c r="M11" s="5" t="n">
        <v>7274.6</v>
      </c>
      <c r="N11" s="5" t="n">
        <v>538.74</v>
      </c>
      <c r="O11" s="3" t="n">
        <v>0.0741</v>
      </c>
      <c r="S11" s="16" t="n">
        <v>0.3</v>
      </c>
      <c r="T11" s="17" t="n">
        <f aca="false">+S11*(M11-J11-N11)</f>
        <v>2019.20394230769</v>
      </c>
      <c r="U11" s="16" t="n">
        <f aca="false">+T11/M11</f>
        <v>0.277569068032289</v>
      </c>
      <c r="V11" s="18" t="n">
        <f aca="false">+T11*U11</f>
        <v>560.468556433471</v>
      </c>
    </row>
    <row r="12" customFormat="false" ht="13.8" hidden="false" customHeight="false" outlineLevel="0" collapsed="false">
      <c r="A12" s="0" t="n">
        <f aca="false">+1+A11</f>
        <v>11</v>
      </c>
      <c r="B12" s="1" t="s">
        <v>22</v>
      </c>
      <c r="C12" s="2" t="s">
        <v>23</v>
      </c>
      <c r="D12" s="0" t="s">
        <v>42</v>
      </c>
      <c r="E12" s="1" t="s">
        <v>43</v>
      </c>
      <c r="F12" s="1" t="n">
        <v>206810</v>
      </c>
      <c r="G12" s="1" t="n">
        <v>531</v>
      </c>
      <c r="H12" s="3" t="n">
        <v>0.0026</v>
      </c>
      <c r="I12" s="1" t="n">
        <v>30</v>
      </c>
      <c r="J12" s="4" t="n">
        <v>9.73033333333333</v>
      </c>
      <c r="K12" s="15" t="n">
        <v>0.0565</v>
      </c>
      <c r="L12" s="1" t="n">
        <v>30</v>
      </c>
      <c r="M12" s="5" t="n">
        <v>2323.28</v>
      </c>
      <c r="N12" s="5" t="n">
        <v>291.91</v>
      </c>
      <c r="O12" s="3" t="n">
        <v>0.1256</v>
      </c>
      <c r="S12" s="16" t="n">
        <v>0.3</v>
      </c>
      <c r="T12" s="17" t="n">
        <f aca="false">+S12*(M12-J12-N12)</f>
        <v>606.4919</v>
      </c>
      <c r="U12" s="16" t="n">
        <f aca="false">+T12/M12</f>
        <v>0.261049851933473</v>
      </c>
      <c r="V12" s="18" t="n">
        <f aca="false">+T12*U12</f>
        <v>158.324620693851</v>
      </c>
    </row>
    <row r="13" customFormat="false" ht="13.8" hidden="false" customHeight="false" outlineLevel="0" collapsed="false">
      <c r="A13" s="0" t="n">
        <f aca="false">+1+A12</f>
        <v>12</v>
      </c>
      <c r="B13" s="1" t="s">
        <v>22</v>
      </c>
      <c r="C13" s="2" t="s">
        <v>23</v>
      </c>
      <c r="D13" s="0" t="s">
        <v>28</v>
      </c>
      <c r="E13" s="1" t="s">
        <v>29</v>
      </c>
      <c r="F13" s="1" t="n">
        <v>206384</v>
      </c>
      <c r="G13" s="1" t="n">
        <v>483</v>
      </c>
      <c r="H13" s="3" t="n">
        <v>0.0023</v>
      </c>
      <c r="I13" s="1" t="n">
        <v>27</v>
      </c>
      <c r="J13" s="4" t="n">
        <v>11.3014814814815</v>
      </c>
      <c r="K13" s="15" t="n">
        <v>0.0559</v>
      </c>
      <c r="L13" s="1" t="n">
        <v>27</v>
      </c>
      <c r="M13" s="5" t="n">
        <v>1811.49</v>
      </c>
      <c r="N13" s="5" t="n">
        <v>305.14</v>
      </c>
      <c r="O13" s="3" t="n">
        <v>0.1684</v>
      </c>
      <c r="S13" s="16" t="n">
        <v>0.3</v>
      </c>
      <c r="T13" s="17" t="n">
        <f aca="false">+S13*(M13-J13-N13)</f>
        <v>448.514555555556</v>
      </c>
      <c r="U13" s="16" t="n">
        <f aca="false">+T13/M13</f>
        <v>0.247594276289439</v>
      </c>
      <c r="V13" s="18" t="n">
        <f aca="false">+T13*U13</f>
        <v>111.049636788057</v>
      </c>
    </row>
    <row r="14" customFormat="false" ht="13.8" hidden="false" customHeight="false" outlineLevel="0" collapsed="false">
      <c r="A14" s="0" t="n">
        <f aca="false">+1+A13</f>
        <v>13</v>
      </c>
      <c r="B14" s="1" t="s">
        <v>22</v>
      </c>
      <c r="C14" s="2" t="s">
        <v>23</v>
      </c>
      <c r="D14" s="0" t="s">
        <v>44</v>
      </c>
      <c r="E14" s="1" t="s">
        <v>45</v>
      </c>
      <c r="F14" s="1" t="n">
        <v>196036</v>
      </c>
      <c r="G14" s="1" t="n">
        <v>413</v>
      </c>
      <c r="H14" s="3" t="n">
        <v>0.0021</v>
      </c>
      <c r="I14" s="1" t="n">
        <v>21</v>
      </c>
      <c r="J14" s="4" t="n">
        <v>4.47571428571429</v>
      </c>
      <c r="K14" s="15" t="n">
        <v>0.0508</v>
      </c>
      <c r="L14" s="1" t="n">
        <v>21</v>
      </c>
      <c r="M14" s="5" t="n">
        <v>1009.48</v>
      </c>
      <c r="N14" s="5" t="n">
        <v>93.99</v>
      </c>
      <c r="O14" s="3" t="n">
        <v>0.0931</v>
      </c>
      <c r="S14" s="16" t="n">
        <v>0.3</v>
      </c>
      <c r="T14" s="17" t="n">
        <f aca="false">+S14*(M14-J14-N14)</f>
        <v>273.304285714286</v>
      </c>
      <c r="U14" s="16" t="n">
        <f aca="false">+T14/M14</f>
        <v>0.270737692390424</v>
      </c>
      <c r="V14" s="18" t="n">
        <f aca="false">+T14*U14</f>
        <v>73.993771634699</v>
      </c>
    </row>
    <row r="15" customFormat="false" ht="13.8" hidden="false" customHeight="false" outlineLevel="0" collapsed="false">
      <c r="A15" s="0" t="n">
        <f aca="false">+1+A14</f>
        <v>14</v>
      </c>
      <c r="B15" s="1" t="s">
        <v>22</v>
      </c>
      <c r="C15" s="2" t="s">
        <v>23</v>
      </c>
      <c r="D15" s="0" t="s">
        <v>46</v>
      </c>
      <c r="E15" s="1" t="s">
        <v>47</v>
      </c>
      <c r="F15" s="1" t="n">
        <v>191506</v>
      </c>
      <c r="G15" s="1" t="n">
        <v>437</v>
      </c>
      <c r="H15" s="3" t="n">
        <v>0.0023</v>
      </c>
      <c r="I15" s="1" t="n">
        <v>37</v>
      </c>
      <c r="J15" s="4" t="n">
        <v>9.33702702702703</v>
      </c>
      <c r="K15" s="15" t="n">
        <v>0.0847</v>
      </c>
      <c r="L15" s="1" t="n">
        <v>37</v>
      </c>
      <c r="M15" s="5" t="n">
        <v>2571.37</v>
      </c>
      <c r="N15" s="5" t="n">
        <v>345.47</v>
      </c>
      <c r="O15" s="3" t="n">
        <v>0.1344</v>
      </c>
      <c r="S15" s="16" t="n">
        <v>0.3</v>
      </c>
      <c r="T15" s="17" t="n">
        <f aca="false">+S15*(M15-J15-N15)</f>
        <v>664.968891891892</v>
      </c>
      <c r="U15" s="16" t="n">
        <f aca="false">+T15/M15</f>
        <v>0.258604903958548</v>
      </c>
      <c r="V15" s="18" t="n">
        <f aca="false">+T15*U15</f>
        <v>171.964216423125</v>
      </c>
    </row>
    <row r="16" customFormat="false" ht="13.8" hidden="false" customHeight="false" outlineLevel="0" collapsed="false">
      <c r="A16" s="0" t="n">
        <f aca="false">+1+A15</f>
        <v>15</v>
      </c>
      <c r="B16" s="1" t="s">
        <v>22</v>
      </c>
      <c r="C16" s="2" t="s">
        <v>23</v>
      </c>
      <c r="D16" s="0" t="s">
        <v>48</v>
      </c>
      <c r="E16" s="1" t="s">
        <v>49</v>
      </c>
      <c r="F16" s="1" t="n">
        <v>175331</v>
      </c>
      <c r="G16" s="1" t="n">
        <v>314</v>
      </c>
      <c r="H16" s="3" t="n">
        <v>0.0018</v>
      </c>
      <c r="I16" s="1" t="n">
        <v>30</v>
      </c>
      <c r="J16" s="4" t="n">
        <v>2.90033333333333</v>
      </c>
      <c r="K16" s="15" t="n">
        <v>0.0955</v>
      </c>
      <c r="L16" s="1" t="n">
        <v>30</v>
      </c>
      <c r="M16" s="5" t="n">
        <v>1065.7</v>
      </c>
      <c r="N16" s="5" t="n">
        <v>87.01</v>
      </c>
      <c r="O16" s="3" t="n">
        <v>0.0816</v>
      </c>
      <c r="S16" s="16" t="n">
        <v>0.3</v>
      </c>
      <c r="T16" s="17" t="n">
        <f aca="false">+S16*(M16-J16-N16)</f>
        <v>292.7369</v>
      </c>
      <c r="U16" s="16" t="n">
        <f aca="false">+T16/M16</f>
        <v>0.274689781364361</v>
      </c>
      <c r="V16" s="18" t="n">
        <f aca="false">+T16*U16</f>
        <v>80.411835058281</v>
      </c>
    </row>
    <row r="17" customFormat="false" ht="13.8" hidden="false" customHeight="false" outlineLevel="0" collapsed="false">
      <c r="A17" s="0" t="n">
        <f aca="false">+1+A16</f>
        <v>16</v>
      </c>
      <c r="B17" s="1" t="s">
        <v>22</v>
      </c>
      <c r="C17" s="2" t="s">
        <v>23</v>
      </c>
      <c r="D17" s="0" t="s">
        <v>50</v>
      </c>
      <c r="E17" s="1" t="s">
        <v>51</v>
      </c>
      <c r="F17" s="1" t="n">
        <v>170657</v>
      </c>
      <c r="G17" s="1" t="n">
        <v>370</v>
      </c>
      <c r="H17" s="3" t="n">
        <v>0.0022</v>
      </c>
      <c r="I17" s="1" t="n">
        <v>33</v>
      </c>
      <c r="J17" s="4" t="n">
        <v>2.88545454545454</v>
      </c>
      <c r="K17" s="15" t="n">
        <v>0.0892</v>
      </c>
      <c r="L17" s="1" t="n">
        <v>33</v>
      </c>
      <c r="M17" s="5" t="n">
        <v>1989.34</v>
      </c>
      <c r="N17" s="5" t="n">
        <v>95.22</v>
      </c>
      <c r="O17" s="3" t="n">
        <v>0.0479</v>
      </c>
      <c r="S17" s="16" t="n">
        <v>0.3</v>
      </c>
      <c r="T17" s="17" t="n">
        <f aca="false">+S17*(M17-J17-N17)</f>
        <v>567.370363636364</v>
      </c>
      <c r="U17" s="16" t="n">
        <f aca="false">+T17/M17</f>
        <v>0.285205326206864</v>
      </c>
      <c r="V17" s="18" t="n">
        <f aca="false">+T17*U17</f>
        <v>161.817049641016</v>
      </c>
    </row>
    <row r="18" customFormat="false" ht="13.8" hidden="false" customHeight="false" outlineLevel="0" collapsed="false">
      <c r="A18" s="0" t="n">
        <f aca="false">+1+A17</f>
        <v>17</v>
      </c>
      <c r="B18" s="1" t="s">
        <v>22</v>
      </c>
      <c r="C18" s="2" t="s">
        <v>23</v>
      </c>
      <c r="D18" s="0" t="s">
        <v>52</v>
      </c>
      <c r="E18" s="1" t="s">
        <v>53</v>
      </c>
      <c r="F18" s="1" t="n">
        <v>169011</v>
      </c>
      <c r="G18" s="1" t="n">
        <v>2074</v>
      </c>
      <c r="H18" s="3" t="n">
        <v>0.0123</v>
      </c>
      <c r="I18" s="1" t="n">
        <v>85</v>
      </c>
      <c r="J18" s="4" t="n">
        <v>10.8269411764706</v>
      </c>
      <c r="K18" s="15" t="n">
        <v>0.041</v>
      </c>
      <c r="L18" s="1" t="n">
        <v>85</v>
      </c>
      <c r="M18" s="5" t="n">
        <v>6163.3</v>
      </c>
      <c r="N18" s="5" t="n">
        <v>920.29</v>
      </c>
      <c r="O18" s="3" t="n">
        <v>0.1493</v>
      </c>
      <c r="S18" s="16" t="n">
        <v>0.3</v>
      </c>
      <c r="T18" s="17" t="n">
        <f aca="false">+S18*(M18-J18-N18)</f>
        <v>1569.65491764706</v>
      </c>
      <c r="U18" s="16" t="n">
        <f aca="false">+T18/M18</f>
        <v>0.254677675538601</v>
      </c>
      <c r="V18" s="18" t="n">
        <f aca="false">+T18*U18</f>
        <v>399.756065824087</v>
      </c>
    </row>
    <row r="19" customFormat="false" ht="13.8" hidden="false" customHeight="false" outlineLevel="0" collapsed="false">
      <c r="A19" s="0" t="n">
        <f aca="false">+1+A18</f>
        <v>18</v>
      </c>
      <c r="B19" s="1" t="s">
        <v>22</v>
      </c>
      <c r="C19" s="2" t="s">
        <v>23</v>
      </c>
      <c r="D19" s="0" t="s">
        <v>54</v>
      </c>
      <c r="E19" s="1" t="s">
        <v>55</v>
      </c>
      <c r="F19" s="1" t="n">
        <v>162893</v>
      </c>
      <c r="G19" s="1" t="n">
        <v>95</v>
      </c>
      <c r="H19" s="3" t="n">
        <v>0.0006</v>
      </c>
      <c r="I19" s="1" t="n">
        <v>16</v>
      </c>
      <c r="J19" s="4" t="n">
        <v>6.481875</v>
      </c>
      <c r="K19" s="15" t="n">
        <v>0.1684</v>
      </c>
      <c r="L19" s="1" t="n">
        <v>16</v>
      </c>
      <c r="M19" s="5" t="n">
        <v>907.91</v>
      </c>
      <c r="N19" s="5" t="n">
        <v>103.71</v>
      </c>
      <c r="O19" s="3" t="n">
        <v>0.1142</v>
      </c>
      <c r="S19" s="16" t="n">
        <v>0.3</v>
      </c>
      <c r="T19" s="17" t="n">
        <f aca="false">+S19*(M19-J19-N19)</f>
        <v>239.3154375</v>
      </c>
      <c r="U19" s="16" t="n">
        <f aca="false">+T19/M19</f>
        <v>0.263589383859634</v>
      </c>
      <c r="V19" s="18" t="n">
        <f aca="false">+T19*U19</f>
        <v>63.0810087187237</v>
      </c>
    </row>
    <row r="20" customFormat="false" ht="13.8" hidden="false" customHeight="false" outlineLevel="0" collapsed="false">
      <c r="A20" s="0" t="n">
        <f aca="false">+1+A19</f>
        <v>19</v>
      </c>
      <c r="B20" s="1" t="s">
        <v>22</v>
      </c>
      <c r="C20" s="2" t="s">
        <v>23</v>
      </c>
      <c r="D20" s="0" t="s">
        <v>56</v>
      </c>
      <c r="E20" s="1" t="s">
        <v>57</v>
      </c>
      <c r="F20" s="1" t="n">
        <v>147837</v>
      </c>
      <c r="G20" s="1" t="n">
        <v>149</v>
      </c>
      <c r="H20" s="3" t="n">
        <v>0.001</v>
      </c>
      <c r="I20" s="1" t="n">
        <v>12</v>
      </c>
      <c r="J20" s="4" t="n">
        <v>10.1766666666667</v>
      </c>
      <c r="K20" s="15" t="n">
        <v>0.0805</v>
      </c>
      <c r="L20" s="1" t="n">
        <v>12</v>
      </c>
      <c r="M20" s="5" t="n">
        <v>618.33</v>
      </c>
      <c r="N20" s="5" t="n">
        <v>122.12</v>
      </c>
      <c r="O20" s="3" t="n">
        <v>0.1975</v>
      </c>
      <c r="S20" s="16" t="n">
        <v>0.3</v>
      </c>
      <c r="T20" s="17" t="n">
        <f aca="false">+S20*(M20-J20-N20)</f>
        <v>145.81</v>
      </c>
      <c r="U20" s="16" t="n">
        <f aca="false">+T20/M20</f>
        <v>0.235812591981628</v>
      </c>
      <c r="V20" s="18" t="n">
        <f aca="false">+T20*U20</f>
        <v>34.3838340368412</v>
      </c>
    </row>
    <row r="21" customFormat="false" ht="13.8" hidden="false" customHeight="false" outlineLevel="0" collapsed="false">
      <c r="A21" s="0" t="n">
        <f aca="false">+1+A20</f>
        <v>20</v>
      </c>
      <c r="B21" s="1" t="s">
        <v>22</v>
      </c>
      <c r="C21" s="2" t="s">
        <v>23</v>
      </c>
      <c r="D21" s="0" t="s">
        <v>54</v>
      </c>
      <c r="E21" s="1" t="s">
        <v>55</v>
      </c>
      <c r="F21" s="1" t="n">
        <v>147595</v>
      </c>
      <c r="G21" s="1" t="n">
        <v>79</v>
      </c>
      <c r="H21" s="3" t="n">
        <v>0.0005</v>
      </c>
      <c r="I21" s="1" t="n">
        <v>9</v>
      </c>
      <c r="J21" s="4" t="n">
        <v>8.79111111111111</v>
      </c>
      <c r="K21" s="15" t="n">
        <v>0.1139</v>
      </c>
      <c r="L21" s="1" t="n">
        <v>9</v>
      </c>
      <c r="M21" s="5" t="n">
        <v>525.31</v>
      </c>
      <c r="N21" s="5" t="n">
        <v>79.12</v>
      </c>
      <c r="O21" s="3" t="n">
        <v>0.1506</v>
      </c>
      <c r="S21" s="16" t="n">
        <v>0.3</v>
      </c>
      <c r="T21" s="17" t="n">
        <f aca="false">+S21*(M21-J21-N21)</f>
        <v>131.219666666667</v>
      </c>
      <c r="U21" s="16" t="n">
        <f aca="false">+T21/M21</f>
        <v>0.249794724384966</v>
      </c>
      <c r="V21" s="18" t="n">
        <f aca="false">+T21*U21</f>
        <v>32.7779804688871</v>
      </c>
    </row>
    <row r="22" customFormat="false" ht="13.8" hidden="false" customHeight="false" outlineLevel="0" collapsed="false">
      <c r="A22" s="0" t="n">
        <f aca="false">+1+A21</f>
        <v>21</v>
      </c>
      <c r="B22" s="1" t="s">
        <v>22</v>
      </c>
      <c r="C22" s="2" t="s">
        <v>23</v>
      </c>
      <c r="D22" s="0" t="s">
        <v>58</v>
      </c>
      <c r="E22" s="1" t="s">
        <v>59</v>
      </c>
      <c r="F22" s="1" t="n">
        <v>147328</v>
      </c>
      <c r="G22" s="1" t="n">
        <v>247</v>
      </c>
      <c r="H22" s="3" t="n">
        <v>0.0017</v>
      </c>
      <c r="I22" s="1" t="n">
        <v>15</v>
      </c>
      <c r="J22" s="4" t="n">
        <v>9.77133333333333</v>
      </c>
      <c r="K22" s="15" t="n">
        <v>0.0607</v>
      </c>
      <c r="L22" s="1" t="n">
        <v>15</v>
      </c>
      <c r="M22" s="5" t="n">
        <v>1201.46</v>
      </c>
      <c r="N22" s="5" t="n">
        <v>146.57</v>
      </c>
      <c r="O22" s="3" t="n">
        <v>0.122</v>
      </c>
      <c r="S22" s="16" t="n">
        <v>0.3</v>
      </c>
      <c r="T22" s="17" t="n">
        <f aca="false">+S22*(M22-J22-N22)</f>
        <v>313.5356</v>
      </c>
      <c r="U22" s="16" t="n">
        <f aca="false">+T22/M22</f>
        <v>0.260962162702046</v>
      </c>
      <c r="V22" s="18" t="n">
        <f aca="false">+T22*U22</f>
        <v>81.8209282600835</v>
      </c>
    </row>
    <row r="23" customFormat="false" ht="13.8" hidden="false" customHeight="false" outlineLevel="0" collapsed="false">
      <c r="A23" s="0" t="n">
        <f aca="false">+1+A22</f>
        <v>22</v>
      </c>
      <c r="B23" s="1" t="s">
        <v>22</v>
      </c>
      <c r="C23" s="2" t="s">
        <v>23</v>
      </c>
      <c r="D23" s="0" t="s">
        <v>60</v>
      </c>
      <c r="E23" s="1" t="s">
        <v>61</v>
      </c>
      <c r="F23" s="1" t="n">
        <v>142316</v>
      </c>
      <c r="G23" s="1" t="n">
        <v>407</v>
      </c>
      <c r="H23" s="3" t="n">
        <v>0.0029</v>
      </c>
      <c r="I23" s="1" t="n">
        <v>27</v>
      </c>
      <c r="J23" s="4" t="n">
        <v>7.00666666666667</v>
      </c>
      <c r="K23" s="15" t="n">
        <v>0.0663</v>
      </c>
      <c r="L23" s="1" t="n">
        <v>27</v>
      </c>
      <c r="M23" s="5" t="n">
        <v>1236.88</v>
      </c>
      <c r="N23" s="5" t="n">
        <v>189.18</v>
      </c>
      <c r="O23" s="3" t="n">
        <v>0.1529</v>
      </c>
      <c r="S23" s="16" t="n">
        <v>0.3</v>
      </c>
      <c r="T23" s="17" t="n">
        <f aca="false">+S23*(M23-J23-N23)</f>
        <v>312.208</v>
      </c>
      <c r="U23" s="16" t="n">
        <f aca="false">+T23/M23</f>
        <v>0.252415755772589</v>
      </c>
      <c r="V23" s="18" t="n">
        <f aca="false">+T23*U23</f>
        <v>78.8062182782485</v>
      </c>
    </row>
    <row r="24" customFormat="false" ht="13.8" hidden="false" customHeight="false" outlineLevel="0" collapsed="false">
      <c r="A24" s="0" t="n">
        <f aca="false">+1+A23</f>
        <v>23</v>
      </c>
      <c r="B24" s="1" t="s">
        <v>22</v>
      </c>
      <c r="C24" s="2" t="s">
        <v>23</v>
      </c>
      <c r="D24" s="0" t="s">
        <v>62</v>
      </c>
      <c r="E24" s="1" t="s">
        <v>63</v>
      </c>
      <c r="F24" s="1" t="n">
        <v>134893</v>
      </c>
      <c r="G24" s="1" t="n">
        <v>371</v>
      </c>
      <c r="H24" s="3" t="n">
        <v>0.0028</v>
      </c>
      <c r="I24" s="1" t="n">
        <v>13</v>
      </c>
      <c r="J24" s="4" t="n">
        <v>8.74307692307692</v>
      </c>
      <c r="K24" s="15" t="n">
        <v>0.035</v>
      </c>
      <c r="L24" s="1" t="n">
        <v>13</v>
      </c>
      <c r="M24" s="5" t="n">
        <v>923.12</v>
      </c>
      <c r="N24" s="5" t="n">
        <v>113.66</v>
      </c>
      <c r="O24" s="3" t="n">
        <v>0.1231</v>
      </c>
      <c r="S24" s="16" t="n">
        <v>0.3</v>
      </c>
      <c r="T24" s="17" t="n">
        <f aca="false">+S24*(M24-J24-N24)</f>
        <v>240.215076923077</v>
      </c>
      <c r="U24" s="16" t="n">
        <f aca="false">+T24/M24</f>
        <v>0.260220856360036</v>
      </c>
      <c r="V24" s="18" t="n">
        <f aca="false">+T24*U24</f>
        <v>62.5089730275151</v>
      </c>
    </row>
    <row r="25" customFormat="false" ht="13.8" hidden="false" customHeight="false" outlineLevel="0" collapsed="false">
      <c r="A25" s="0" t="n">
        <f aca="false">+1+A24</f>
        <v>24</v>
      </c>
      <c r="B25" s="1" t="s">
        <v>22</v>
      </c>
      <c r="C25" s="2" t="s">
        <v>23</v>
      </c>
      <c r="D25" s="0" t="s">
        <v>64</v>
      </c>
      <c r="E25" s="1" t="s">
        <v>65</v>
      </c>
      <c r="F25" s="1" t="n">
        <v>126254</v>
      </c>
      <c r="G25" s="1" t="n">
        <v>189</v>
      </c>
      <c r="H25" s="3" t="n">
        <v>0.0015</v>
      </c>
      <c r="I25" s="1" t="n">
        <v>14</v>
      </c>
      <c r="J25" s="4" t="n">
        <v>9.3</v>
      </c>
      <c r="K25" s="15" t="n">
        <v>0.0741</v>
      </c>
      <c r="L25" s="1" t="n">
        <v>14</v>
      </c>
      <c r="M25" s="5" t="n">
        <v>1013.05</v>
      </c>
      <c r="N25" s="5" t="n">
        <v>130.2</v>
      </c>
      <c r="O25" s="3" t="n">
        <v>0.1285</v>
      </c>
      <c r="S25" s="16" t="n">
        <v>0.3</v>
      </c>
      <c r="T25" s="17" t="n">
        <f aca="false">+S25*(M25-J25-N25)</f>
        <v>262.065</v>
      </c>
      <c r="U25" s="16" t="n">
        <f aca="false">+T25/M25</f>
        <v>0.258689107151671</v>
      </c>
      <c r="V25" s="18" t="n">
        <f aca="false">+T25*U25</f>
        <v>67.7933608657026</v>
      </c>
    </row>
    <row r="26" customFormat="false" ht="13.8" hidden="false" customHeight="false" outlineLevel="0" collapsed="false">
      <c r="A26" s="0" t="n">
        <f aca="false">+1+A25</f>
        <v>25</v>
      </c>
      <c r="B26" s="1" t="s">
        <v>22</v>
      </c>
      <c r="C26" s="2" t="s">
        <v>23</v>
      </c>
      <c r="D26" s="0" t="s">
        <v>66</v>
      </c>
      <c r="E26" s="1" t="s">
        <v>67</v>
      </c>
      <c r="F26" s="1" t="n">
        <v>113163</v>
      </c>
      <c r="G26" s="1" t="n">
        <v>446</v>
      </c>
      <c r="H26" s="3" t="n">
        <v>0.0039</v>
      </c>
      <c r="I26" s="1" t="n">
        <v>13</v>
      </c>
      <c r="J26" s="4" t="n">
        <v>9.44</v>
      </c>
      <c r="K26" s="15" t="n">
        <v>0.0291</v>
      </c>
      <c r="L26" s="1" t="n">
        <v>13</v>
      </c>
      <c r="M26" s="5" t="n">
        <v>864.06</v>
      </c>
      <c r="N26" s="5" t="n">
        <v>122.72</v>
      </c>
      <c r="O26" s="3" t="n">
        <v>0.142</v>
      </c>
      <c r="S26" s="16" t="n">
        <v>0.3</v>
      </c>
      <c r="T26" s="17" t="n">
        <f aca="false">+S26*(M26-J26-N26)</f>
        <v>219.57</v>
      </c>
      <c r="U26" s="16" t="n">
        <f aca="false">+T26/M26</f>
        <v>0.254114297618221</v>
      </c>
      <c r="V26" s="18" t="n">
        <f aca="false">+T26*U26</f>
        <v>55.7958763280328</v>
      </c>
    </row>
    <row r="27" customFormat="false" ht="13.8" hidden="false" customHeight="false" outlineLevel="0" collapsed="false">
      <c r="A27" s="0" t="n">
        <f aca="false">+1+A26</f>
        <v>26</v>
      </c>
      <c r="B27" s="1" t="s">
        <v>22</v>
      </c>
      <c r="C27" s="2" t="s">
        <v>23</v>
      </c>
      <c r="D27" s="0" t="s">
        <v>24</v>
      </c>
      <c r="E27" s="1" t="s">
        <v>25</v>
      </c>
      <c r="F27" s="1" t="n">
        <v>109365</v>
      </c>
      <c r="G27" s="1" t="n">
        <v>577</v>
      </c>
      <c r="H27" s="3" t="n">
        <v>0.0053</v>
      </c>
      <c r="I27" s="1" t="n">
        <v>30</v>
      </c>
      <c r="J27" s="4" t="n">
        <v>8.397</v>
      </c>
      <c r="K27" s="15" t="n">
        <v>0.052</v>
      </c>
      <c r="L27" s="1" t="n">
        <v>30</v>
      </c>
      <c r="M27" s="5" t="n">
        <v>2080.02</v>
      </c>
      <c r="N27" s="5" t="n">
        <v>251.91</v>
      </c>
      <c r="O27" s="3" t="n">
        <v>0.1211</v>
      </c>
      <c r="S27" s="16" t="n">
        <v>0.3</v>
      </c>
      <c r="T27" s="17" t="n">
        <f aca="false">+S27*(M27-J27-N27)</f>
        <v>545.9139</v>
      </c>
      <c r="U27" s="16" t="n">
        <f aca="false">+T27/M27</f>
        <v>0.262456082153056</v>
      </c>
      <c r="V27" s="18" t="n">
        <f aca="false">+T27*U27</f>
        <v>143.278423386895</v>
      </c>
    </row>
    <row r="28" customFormat="false" ht="13.8" hidden="false" customHeight="false" outlineLevel="0" collapsed="false">
      <c r="A28" s="0" t="n">
        <f aca="false">+1+A27</f>
        <v>27</v>
      </c>
      <c r="B28" s="1" t="s">
        <v>22</v>
      </c>
      <c r="C28" s="2" t="s">
        <v>23</v>
      </c>
      <c r="D28" s="0" t="s">
        <v>34</v>
      </c>
      <c r="E28" s="1" t="s">
        <v>35</v>
      </c>
      <c r="F28" s="1" t="n">
        <v>102637</v>
      </c>
      <c r="G28" s="1" t="n">
        <v>223</v>
      </c>
      <c r="H28" s="3" t="n">
        <v>0.0022</v>
      </c>
      <c r="I28" s="1" t="n">
        <v>29</v>
      </c>
      <c r="J28" s="4" t="n">
        <v>10.2672413793104</v>
      </c>
      <c r="K28" s="15" t="n">
        <v>0.13</v>
      </c>
      <c r="L28" s="1" t="n">
        <v>29</v>
      </c>
      <c r="M28" s="5" t="n">
        <v>1905.81</v>
      </c>
      <c r="N28" s="5" t="n">
        <v>297.75</v>
      </c>
      <c r="O28" s="3" t="n">
        <v>0.1562</v>
      </c>
      <c r="S28" s="16" t="n">
        <v>0.3</v>
      </c>
      <c r="T28" s="17" t="n">
        <f aca="false">+S28*(M28-J28-N28)</f>
        <v>479.337827586207</v>
      </c>
      <c r="U28" s="16" t="n">
        <f aca="false">+T28/M28</f>
        <v>0.251513963924109</v>
      </c>
      <c r="V28" s="18" t="n">
        <f aca="false">+T28*U28</f>
        <v>120.560157074978</v>
      </c>
    </row>
    <row r="29" customFormat="false" ht="13.8" hidden="false" customHeight="false" outlineLevel="0" collapsed="false">
      <c r="A29" s="0" t="n">
        <f aca="false">+1+A28</f>
        <v>28</v>
      </c>
      <c r="B29" s="1" t="s">
        <v>22</v>
      </c>
      <c r="C29" s="2" t="s">
        <v>23</v>
      </c>
      <c r="D29" s="0" t="s">
        <v>60</v>
      </c>
      <c r="E29" s="1" t="s">
        <v>61</v>
      </c>
      <c r="F29" s="1" t="n">
        <v>99474</v>
      </c>
      <c r="G29" s="1" t="n">
        <v>242</v>
      </c>
      <c r="H29" s="3" t="n">
        <v>0.0024</v>
      </c>
      <c r="I29" s="1" t="n">
        <v>25</v>
      </c>
      <c r="J29" s="4" t="n">
        <v>5.0136</v>
      </c>
      <c r="K29" s="15" t="n">
        <v>0.1033</v>
      </c>
      <c r="L29" s="1" t="n">
        <v>25</v>
      </c>
      <c r="M29" s="5" t="n">
        <v>1164.86</v>
      </c>
      <c r="N29" s="5" t="n">
        <v>125.34</v>
      </c>
      <c r="O29" s="3" t="n">
        <v>0.1076</v>
      </c>
      <c r="S29" s="16" t="n">
        <v>0.3</v>
      </c>
      <c r="T29" s="17" t="n">
        <f aca="false">+S29*(M29-J29-N29)</f>
        <v>310.35192</v>
      </c>
      <c r="U29" s="16" t="n">
        <f aca="false">+T29/M29</f>
        <v>0.26642851501468</v>
      </c>
      <c r="V29" s="18" t="n">
        <f aca="false">+T29*U29</f>
        <v>82.6866011775547</v>
      </c>
    </row>
    <row r="30" customFormat="false" ht="13.8" hidden="false" customHeight="false" outlineLevel="0" collapsed="false">
      <c r="A30" s="0" t="n">
        <f aca="false">+1+A29</f>
        <v>29</v>
      </c>
      <c r="B30" s="1" t="s">
        <v>22</v>
      </c>
      <c r="C30" s="2" t="s">
        <v>23</v>
      </c>
      <c r="D30" s="0" t="s">
        <v>58</v>
      </c>
      <c r="E30" s="1" t="s">
        <v>59</v>
      </c>
      <c r="F30" s="1" t="n">
        <v>95123</v>
      </c>
      <c r="G30" s="1" t="n">
        <v>123</v>
      </c>
      <c r="H30" s="3" t="n">
        <v>0.0013</v>
      </c>
      <c r="I30" s="1" t="n">
        <v>10</v>
      </c>
      <c r="J30" s="4" t="n">
        <v>7.734</v>
      </c>
      <c r="K30" s="15" t="n">
        <v>0.0813</v>
      </c>
      <c r="L30" s="1" t="n">
        <v>10</v>
      </c>
      <c r="M30" s="5" t="n">
        <v>672.38</v>
      </c>
      <c r="N30" s="5" t="n">
        <v>77.34</v>
      </c>
      <c r="O30" s="3" t="n">
        <v>0.115</v>
      </c>
      <c r="S30" s="16" t="n">
        <v>0.3</v>
      </c>
      <c r="T30" s="17" t="n">
        <f aca="false">+S30*(M30-J30-N30)</f>
        <v>176.1918</v>
      </c>
      <c r="U30" s="16" t="n">
        <f aca="false">+T30/M30</f>
        <v>0.26204200005949</v>
      </c>
      <c r="V30" s="18" t="n">
        <f aca="false">+T30*U30</f>
        <v>46.1696516660817</v>
      </c>
    </row>
    <row r="31" customFormat="false" ht="13.8" hidden="false" customHeight="false" outlineLevel="0" collapsed="false">
      <c r="A31" s="0" t="n">
        <f aca="false">+1+A30</f>
        <v>30</v>
      </c>
      <c r="B31" s="1" t="s">
        <v>22</v>
      </c>
      <c r="C31" s="2" t="s">
        <v>23</v>
      </c>
      <c r="D31" s="0" t="s">
        <v>68</v>
      </c>
      <c r="E31" s="1" t="s">
        <v>69</v>
      </c>
      <c r="F31" s="1" t="n">
        <v>89415</v>
      </c>
      <c r="G31" s="1" t="n">
        <v>275</v>
      </c>
      <c r="H31" s="3" t="n">
        <v>0.0031</v>
      </c>
      <c r="I31" s="1" t="n">
        <v>37</v>
      </c>
      <c r="J31" s="4" t="n">
        <v>3.1772972972973</v>
      </c>
      <c r="K31" s="15" t="n">
        <v>0.1346</v>
      </c>
      <c r="L31" s="1" t="n">
        <v>37</v>
      </c>
      <c r="M31" s="5" t="n">
        <v>1588.01</v>
      </c>
      <c r="N31" s="5" t="n">
        <v>117.56</v>
      </c>
      <c r="O31" s="3" t="n">
        <v>0.074</v>
      </c>
      <c r="S31" s="16" t="n">
        <v>0.3</v>
      </c>
      <c r="T31" s="17" t="n">
        <f aca="false">+S31*(M31-J31-N31)</f>
        <v>440.181810810811</v>
      </c>
      <c r="U31" s="16" t="n">
        <f aca="false">+T31/M31</f>
        <v>0.277190830543139</v>
      </c>
      <c r="V31" s="18" t="n">
        <f aca="false">+T31*U31</f>
        <v>122.014361728632</v>
      </c>
    </row>
    <row r="32" customFormat="false" ht="13.8" hidden="false" customHeight="false" outlineLevel="0" collapsed="false">
      <c r="A32" s="0" t="n">
        <f aca="false">+1+A31</f>
        <v>31</v>
      </c>
      <c r="B32" s="1" t="s">
        <v>22</v>
      </c>
      <c r="C32" s="2" t="s">
        <v>23</v>
      </c>
      <c r="D32" s="0" t="s">
        <v>34</v>
      </c>
      <c r="E32" s="1" t="s">
        <v>35</v>
      </c>
      <c r="F32" s="1" t="n">
        <v>84720</v>
      </c>
      <c r="G32" s="1" t="n">
        <v>182</v>
      </c>
      <c r="H32" s="3" t="n">
        <v>0.0021</v>
      </c>
      <c r="I32" s="1" t="n">
        <v>33</v>
      </c>
      <c r="J32" s="4" t="n">
        <v>3.02363636363636</v>
      </c>
      <c r="K32" s="15" t="n">
        <v>0.1813</v>
      </c>
      <c r="L32" s="1" t="n">
        <v>33</v>
      </c>
      <c r="M32" s="5" t="n">
        <v>2292.46</v>
      </c>
      <c r="N32" s="5" t="n">
        <v>99.78</v>
      </c>
      <c r="O32" s="3" t="n">
        <v>0.0435</v>
      </c>
      <c r="S32" s="16" t="n">
        <v>0.3</v>
      </c>
      <c r="T32" s="17" t="n">
        <f aca="false">+S32*(M32-J32-N32)</f>
        <v>656.896909090909</v>
      </c>
      <c r="U32" s="16" t="n">
        <f aca="false">+T32/M32</f>
        <v>0.286546726700099</v>
      </c>
      <c r="V32" s="18" t="n">
        <f aca="false">+T32*U32</f>
        <v>188.231659079413</v>
      </c>
    </row>
    <row r="33" customFormat="false" ht="13.8" hidden="false" customHeight="false" outlineLevel="0" collapsed="false">
      <c r="A33" s="0" t="n">
        <f aca="false">+1+A32</f>
        <v>32</v>
      </c>
      <c r="B33" s="1" t="s">
        <v>22</v>
      </c>
      <c r="C33" s="2" t="s">
        <v>23</v>
      </c>
      <c r="D33" s="0" t="s">
        <v>70</v>
      </c>
      <c r="E33" s="1" t="s">
        <v>71</v>
      </c>
      <c r="F33" s="1" t="n">
        <v>78024</v>
      </c>
      <c r="G33" s="1" t="n">
        <v>95</v>
      </c>
      <c r="H33" s="3" t="n">
        <v>0.0012</v>
      </c>
      <c r="I33" s="1" t="n">
        <v>10</v>
      </c>
      <c r="J33" s="4" t="n">
        <v>5.654</v>
      </c>
      <c r="K33" s="15" t="n">
        <v>0.1053</v>
      </c>
      <c r="L33" s="1" t="n">
        <v>10</v>
      </c>
      <c r="M33" s="5" t="n">
        <v>496.6</v>
      </c>
      <c r="N33" s="5" t="n">
        <v>56.54</v>
      </c>
      <c r="O33" s="3" t="n">
        <v>0.1138</v>
      </c>
      <c r="S33" s="16" t="n">
        <v>0.3</v>
      </c>
      <c r="T33" s="17" t="n">
        <f aca="false">+S33*(M33-J33-N33)</f>
        <v>130.3218</v>
      </c>
      <c r="U33" s="16" t="n">
        <f aca="false">+T33/M33</f>
        <v>0.26242811115586</v>
      </c>
      <c r="V33" s="18" t="n">
        <f aca="false">+T33*U33</f>
        <v>34.2001038164317</v>
      </c>
    </row>
    <row r="34" customFormat="false" ht="13.8" hidden="false" customHeight="false" outlineLevel="0" collapsed="false">
      <c r="A34" s="0" t="n">
        <f aca="false">+1+A33</f>
        <v>33</v>
      </c>
      <c r="B34" s="1" t="s">
        <v>22</v>
      </c>
      <c r="C34" s="2" t="s">
        <v>23</v>
      </c>
      <c r="D34" s="0" t="s">
        <v>72</v>
      </c>
      <c r="E34" s="1" t="s">
        <v>73</v>
      </c>
      <c r="F34" s="1" t="n">
        <v>71007</v>
      </c>
      <c r="G34" s="1" t="n">
        <v>76</v>
      </c>
      <c r="H34" s="3" t="n">
        <v>0.0011</v>
      </c>
      <c r="I34" s="1" t="n">
        <v>7</v>
      </c>
      <c r="J34" s="4" t="n">
        <v>18.2057142857143</v>
      </c>
      <c r="K34" s="15" t="n">
        <v>0.0921</v>
      </c>
      <c r="L34" s="1" t="n">
        <v>7</v>
      </c>
      <c r="M34" s="5" t="n">
        <v>363.45</v>
      </c>
      <c r="N34" s="5" t="n">
        <v>127.44</v>
      </c>
      <c r="O34" s="3" t="n">
        <v>0.3506</v>
      </c>
      <c r="S34" s="16" t="n">
        <v>0.3</v>
      </c>
      <c r="T34" s="17" t="n">
        <f aca="false">+S34*(M34-J34-N34)</f>
        <v>65.3412857142857</v>
      </c>
      <c r="U34" s="16" t="n">
        <f aca="false">+T34/M34</f>
        <v>0.179780673309357</v>
      </c>
      <c r="V34" s="18" t="n">
        <f aca="false">+T34*U34</f>
        <v>11.7471003406133</v>
      </c>
    </row>
    <row r="35" customFormat="false" ht="13.8" hidden="false" customHeight="false" outlineLevel="0" collapsed="false">
      <c r="A35" s="0" t="n">
        <f aca="false">+1+A34</f>
        <v>34</v>
      </c>
      <c r="B35" s="1" t="s">
        <v>22</v>
      </c>
      <c r="C35" s="2" t="s">
        <v>23</v>
      </c>
      <c r="D35" s="0" t="s">
        <v>74</v>
      </c>
      <c r="E35" s="1" t="s">
        <v>75</v>
      </c>
      <c r="F35" s="1" t="n">
        <v>65265</v>
      </c>
      <c r="G35" s="1" t="n">
        <v>97</v>
      </c>
      <c r="H35" s="3" t="n">
        <v>0.0015</v>
      </c>
      <c r="I35" s="1" t="n">
        <v>6</v>
      </c>
      <c r="J35" s="4" t="n">
        <v>7.11</v>
      </c>
      <c r="K35" s="15" t="n">
        <v>0.0619</v>
      </c>
      <c r="L35" s="1" t="n">
        <v>6</v>
      </c>
      <c r="M35" s="5" t="n">
        <v>267.28</v>
      </c>
      <c r="N35" s="5" t="n">
        <v>42.66</v>
      </c>
      <c r="O35" s="3" t="n">
        <v>0.1596</v>
      </c>
      <c r="S35" s="16" t="n">
        <v>0.3</v>
      </c>
      <c r="T35" s="17" t="n">
        <f aca="false">+S35*(M35-J35-N35)</f>
        <v>65.253</v>
      </c>
      <c r="U35" s="16" t="n">
        <f aca="false">+T35/M35</f>
        <v>0.24413723436097</v>
      </c>
      <c r="V35" s="18" t="n">
        <f aca="false">+T35*U35</f>
        <v>15.9306869537564</v>
      </c>
    </row>
    <row r="36" customFormat="false" ht="13.8" hidden="false" customHeight="false" outlineLevel="0" collapsed="false">
      <c r="A36" s="0" t="n">
        <f aca="false">+1+A35</f>
        <v>35</v>
      </c>
      <c r="B36" s="1" t="s">
        <v>22</v>
      </c>
      <c r="C36" s="2" t="s">
        <v>23</v>
      </c>
      <c r="D36" s="0" t="s">
        <v>76</v>
      </c>
      <c r="E36" s="1" t="s">
        <v>77</v>
      </c>
      <c r="F36" s="1" t="n">
        <v>63348</v>
      </c>
      <c r="G36" s="1" t="n">
        <v>178</v>
      </c>
      <c r="H36" s="3" t="n">
        <v>0.0028</v>
      </c>
      <c r="I36" s="1" t="n">
        <v>14</v>
      </c>
      <c r="J36" s="4" t="n">
        <v>17.0021428571429</v>
      </c>
      <c r="K36" s="15" t="n">
        <v>0.0787</v>
      </c>
      <c r="L36" s="1" t="n">
        <v>14</v>
      </c>
      <c r="M36" s="5" t="n">
        <v>1061.61</v>
      </c>
      <c r="N36" s="5" t="n">
        <v>238.03</v>
      </c>
      <c r="O36" s="3" t="n">
        <v>0.2242</v>
      </c>
      <c r="S36" s="16" t="n">
        <v>0.3</v>
      </c>
      <c r="T36" s="17" t="n">
        <f aca="false">+S36*(M36-J36-N36)</f>
        <v>241.973357142857</v>
      </c>
      <c r="U36" s="16" t="n">
        <f aca="false">+T36/M36</f>
        <v>0.227930555611625</v>
      </c>
      <c r="V36" s="18" t="n">
        <f aca="false">+T36*U36</f>
        <v>55.1531217367816</v>
      </c>
    </row>
    <row r="37" customFormat="false" ht="13.8" hidden="false" customHeight="false" outlineLevel="0" collapsed="false">
      <c r="A37" s="0" t="n">
        <f aca="false">+1+A36</f>
        <v>36</v>
      </c>
      <c r="B37" s="1" t="s">
        <v>22</v>
      </c>
      <c r="C37" s="2" t="s">
        <v>23</v>
      </c>
      <c r="D37" s="0" t="s">
        <v>78</v>
      </c>
      <c r="E37" s="1" t="s">
        <v>75</v>
      </c>
      <c r="F37" s="1" t="n">
        <v>63045</v>
      </c>
      <c r="G37" s="1" t="n">
        <v>155</v>
      </c>
      <c r="H37" s="3" t="n">
        <v>0.0025</v>
      </c>
      <c r="I37" s="1" t="n">
        <v>12</v>
      </c>
      <c r="J37" s="4" t="n">
        <v>5.6825</v>
      </c>
      <c r="K37" s="15" t="n">
        <v>0.0774</v>
      </c>
      <c r="L37" s="1" t="n">
        <v>12</v>
      </c>
      <c r="M37" s="5" t="n">
        <v>610.55</v>
      </c>
      <c r="N37" s="5" t="n">
        <v>68.19</v>
      </c>
      <c r="O37" s="3" t="n">
        <v>0.1117</v>
      </c>
      <c r="S37" s="16" t="n">
        <v>0.3</v>
      </c>
      <c r="T37" s="17" t="n">
        <f aca="false">+S37*(M37-J37-N37)</f>
        <v>161.00325</v>
      </c>
      <c r="U37" s="16" t="n">
        <f aca="false">+T37/M37</f>
        <v>0.263701990009008</v>
      </c>
      <c r="V37" s="18" t="n">
        <f aca="false">+T37*U37</f>
        <v>42.4568774229179</v>
      </c>
    </row>
    <row r="38" customFormat="false" ht="13.8" hidden="false" customHeight="false" outlineLevel="0" collapsed="false">
      <c r="A38" s="0" t="n">
        <f aca="false">+1+A37</f>
        <v>37</v>
      </c>
      <c r="B38" s="1" t="s">
        <v>22</v>
      </c>
      <c r="C38" s="2" t="s">
        <v>23</v>
      </c>
      <c r="D38" s="0" t="s">
        <v>58</v>
      </c>
      <c r="E38" s="1" t="s">
        <v>59</v>
      </c>
      <c r="F38" s="1" t="n">
        <v>62997</v>
      </c>
      <c r="G38" s="1" t="n">
        <v>116</v>
      </c>
      <c r="H38" s="3" t="n">
        <v>0.0018</v>
      </c>
      <c r="I38" s="1" t="n">
        <v>7</v>
      </c>
      <c r="J38" s="4" t="n">
        <v>14.2242857142857</v>
      </c>
      <c r="K38" s="15" t="n">
        <v>0.0603</v>
      </c>
      <c r="L38" s="1" t="n">
        <v>7</v>
      </c>
      <c r="M38" s="5" t="n">
        <v>558.5</v>
      </c>
      <c r="N38" s="5" t="n">
        <v>99.57</v>
      </c>
      <c r="O38" s="3" t="n">
        <v>0.1783</v>
      </c>
      <c r="S38" s="16" t="n">
        <v>0.3</v>
      </c>
      <c r="T38" s="17" t="n">
        <f aca="false">+S38*(M38-J38-N38)</f>
        <v>133.411714285714</v>
      </c>
      <c r="U38" s="16" t="n">
        <f aca="false">+T38/M38</f>
        <v>0.238875047960097</v>
      </c>
      <c r="V38" s="18" t="n">
        <f aca="false">+T38*U38</f>
        <v>31.8687296484388</v>
      </c>
    </row>
    <row r="39" customFormat="false" ht="13.8" hidden="false" customHeight="false" outlineLevel="0" collapsed="false">
      <c r="A39" s="0" t="n">
        <f aca="false">+1+A38</f>
        <v>38</v>
      </c>
      <c r="B39" s="1" t="s">
        <v>22</v>
      </c>
      <c r="C39" s="2" t="s">
        <v>23</v>
      </c>
      <c r="D39" s="0" t="s">
        <v>79</v>
      </c>
      <c r="E39" s="1" t="s">
        <v>80</v>
      </c>
      <c r="F39" s="1" t="n">
        <v>61429</v>
      </c>
      <c r="G39" s="1" t="n">
        <v>137</v>
      </c>
      <c r="H39" s="3" t="n">
        <v>0.0022</v>
      </c>
      <c r="I39" s="1" t="n">
        <v>12</v>
      </c>
      <c r="J39" s="4" t="n">
        <v>26.3283333333333</v>
      </c>
      <c r="K39" s="15" t="n">
        <v>0.0876</v>
      </c>
      <c r="L39" s="1" t="n">
        <v>12</v>
      </c>
      <c r="M39" s="5" t="n">
        <v>1086.75</v>
      </c>
      <c r="N39" s="5" t="n">
        <v>315.94</v>
      </c>
      <c r="O39" s="3" t="n">
        <v>0.2907</v>
      </c>
      <c r="S39" s="16" t="n">
        <v>0.3</v>
      </c>
      <c r="T39" s="17" t="n">
        <f aca="false">+S39*(M39-J39-N39)</f>
        <v>223.3445</v>
      </c>
      <c r="U39" s="16" t="n">
        <f aca="false">+T39/M39</f>
        <v>0.205515988037727</v>
      </c>
      <c r="V39" s="18" t="n">
        <f aca="false">+T39*U39</f>
        <v>45.9008655902921</v>
      </c>
    </row>
    <row r="40" customFormat="false" ht="13.8" hidden="false" customHeight="false" outlineLevel="0" collapsed="false">
      <c r="A40" s="0" t="n">
        <f aca="false">+1+A39</f>
        <v>39</v>
      </c>
      <c r="B40" s="1" t="s">
        <v>22</v>
      </c>
      <c r="C40" s="2" t="s">
        <v>23</v>
      </c>
      <c r="D40" s="0" t="s">
        <v>81</v>
      </c>
      <c r="E40" s="1" t="s">
        <v>82</v>
      </c>
      <c r="F40" s="1" t="n">
        <v>60964</v>
      </c>
      <c r="G40" s="1" t="n">
        <v>264</v>
      </c>
      <c r="H40" s="3" t="n">
        <v>0.0043</v>
      </c>
      <c r="I40" s="1" t="n">
        <v>12</v>
      </c>
      <c r="J40" s="4" t="n">
        <v>17.2083333333333</v>
      </c>
      <c r="K40" s="15" t="n">
        <v>0.0455</v>
      </c>
      <c r="L40" s="1" t="n">
        <v>12</v>
      </c>
      <c r="M40" s="5" t="n">
        <v>770.88</v>
      </c>
      <c r="N40" s="5" t="n">
        <v>206.5</v>
      </c>
      <c r="O40" s="3" t="n">
        <v>0.2679</v>
      </c>
      <c r="S40" s="16" t="n">
        <v>0.3</v>
      </c>
      <c r="T40" s="17" t="n">
        <f aca="false">+S40*(M40-J40-N40)</f>
        <v>164.1515</v>
      </c>
      <c r="U40" s="16" t="n">
        <f aca="false">+T40/M40</f>
        <v>0.212940405770029</v>
      </c>
      <c r="V40" s="18" t="n">
        <f aca="false">+T40*U40</f>
        <v>34.9544870177589</v>
      </c>
    </row>
    <row r="41" customFormat="false" ht="13.8" hidden="false" customHeight="false" outlineLevel="0" collapsed="false">
      <c r="A41" s="0" t="n">
        <f aca="false">+1+A40</f>
        <v>40</v>
      </c>
      <c r="B41" s="1" t="s">
        <v>22</v>
      </c>
      <c r="C41" s="2" t="s">
        <v>23</v>
      </c>
      <c r="D41" s="0" t="s">
        <v>38</v>
      </c>
      <c r="E41" s="1" t="s">
        <v>39</v>
      </c>
      <c r="F41" s="1" t="n">
        <v>59783</v>
      </c>
      <c r="G41" s="1" t="n">
        <v>160</v>
      </c>
      <c r="H41" s="3" t="n">
        <v>0.0027</v>
      </c>
      <c r="I41" s="1" t="n">
        <v>7</v>
      </c>
      <c r="J41" s="4" t="n">
        <v>6.64142857142857</v>
      </c>
      <c r="K41" s="15" t="n">
        <v>0.0438</v>
      </c>
      <c r="L41" s="1" t="n">
        <v>7</v>
      </c>
      <c r="M41" s="5" t="n">
        <v>535.9</v>
      </c>
      <c r="N41" s="5" t="n">
        <v>46.49</v>
      </c>
      <c r="O41" s="3" t="n">
        <v>0.0868</v>
      </c>
      <c r="S41" s="16" t="n">
        <v>0.3</v>
      </c>
      <c r="T41" s="17" t="n">
        <f aca="false">+S41*(M41-J41-N41)</f>
        <v>144.830571428571</v>
      </c>
      <c r="U41" s="16" t="n">
        <f aca="false">+T41/M41</f>
        <v>0.270256711006851</v>
      </c>
      <c r="V41" s="18" t="n">
        <f aca="false">+T41*U41</f>
        <v>39.1414338875285</v>
      </c>
    </row>
    <row r="42" customFormat="false" ht="13.8" hidden="false" customHeight="false" outlineLevel="0" collapsed="false">
      <c r="A42" s="0" t="n">
        <f aca="false">+1+A41</f>
        <v>41</v>
      </c>
      <c r="B42" s="1" t="s">
        <v>22</v>
      </c>
      <c r="C42" s="2" t="s">
        <v>23</v>
      </c>
      <c r="D42" s="0" t="s">
        <v>83</v>
      </c>
      <c r="E42" s="1" t="s">
        <v>84</v>
      </c>
      <c r="F42" s="1" t="n">
        <v>58915</v>
      </c>
      <c r="G42" s="1" t="n">
        <v>253</v>
      </c>
      <c r="H42" s="3" t="n">
        <v>0.0043</v>
      </c>
      <c r="I42" s="1" t="n">
        <v>21</v>
      </c>
      <c r="J42" s="4" t="n">
        <v>4.27285714285714</v>
      </c>
      <c r="K42" s="15" t="n">
        <v>0.083</v>
      </c>
      <c r="L42" s="1" t="n">
        <v>21</v>
      </c>
      <c r="M42" s="5" t="n">
        <v>1117.17</v>
      </c>
      <c r="N42" s="5" t="n">
        <v>89.73</v>
      </c>
      <c r="O42" s="3" t="n">
        <v>0.0803</v>
      </c>
      <c r="S42" s="16" t="n">
        <v>0.3</v>
      </c>
      <c r="T42" s="17" t="n">
        <f aca="false">+S42*(M42-J42-N42)</f>
        <v>306.950142857143</v>
      </c>
      <c r="U42" s="16" t="n">
        <f aca="false">+T42/M42</f>
        <v>0.274756879308559</v>
      </c>
      <c r="V42" s="18" t="n">
        <f aca="false">+T42*U42</f>
        <v>84.3366633547449</v>
      </c>
    </row>
    <row r="43" customFormat="false" ht="13.8" hidden="false" customHeight="false" outlineLevel="0" collapsed="false">
      <c r="A43" s="0" t="n">
        <f aca="false">+1+A42</f>
        <v>42</v>
      </c>
      <c r="B43" s="1" t="s">
        <v>22</v>
      </c>
      <c r="C43" s="2" t="s">
        <v>23</v>
      </c>
      <c r="D43" s="0" t="s">
        <v>85</v>
      </c>
      <c r="E43" s="1" t="s">
        <v>86</v>
      </c>
      <c r="F43" s="1" t="n">
        <v>58289</v>
      </c>
      <c r="G43" s="1" t="n">
        <v>41</v>
      </c>
      <c r="H43" s="3" t="n">
        <v>0.0007</v>
      </c>
      <c r="I43" s="1" t="n">
        <v>1</v>
      </c>
      <c r="J43" s="4" t="n">
        <v>19.36</v>
      </c>
      <c r="K43" s="15" t="n">
        <v>0.0244</v>
      </c>
      <c r="L43" s="1" t="n">
        <v>1</v>
      </c>
      <c r="M43" s="5" t="n">
        <v>78.32</v>
      </c>
      <c r="N43" s="5" t="n">
        <v>19.36</v>
      </c>
      <c r="O43" s="3" t="n">
        <v>0.2472</v>
      </c>
      <c r="S43" s="16" t="n">
        <v>0.3</v>
      </c>
      <c r="T43" s="17" t="n">
        <f aca="false">+S43*(M43-J43-N43)</f>
        <v>11.88</v>
      </c>
      <c r="U43" s="16" t="n">
        <f aca="false">+T43/M43</f>
        <v>0.151685393258427</v>
      </c>
      <c r="V43" s="18" t="n">
        <f aca="false">+T43*U43</f>
        <v>1.80202247191011</v>
      </c>
    </row>
    <row r="44" customFormat="false" ht="13.8" hidden="false" customHeight="false" outlineLevel="0" collapsed="false">
      <c r="A44" s="0" t="n">
        <f aca="false">+1+A43</f>
        <v>43</v>
      </c>
      <c r="B44" s="1" t="s">
        <v>22</v>
      </c>
      <c r="C44" s="2" t="s">
        <v>23</v>
      </c>
      <c r="D44" s="0" t="s">
        <v>87</v>
      </c>
      <c r="E44" s="1" t="s">
        <v>88</v>
      </c>
      <c r="F44" s="1" t="n">
        <v>57461</v>
      </c>
      <c r="G44" s="1" t="n">
        <v>48</v>
      </c>
      <c r="H44" s="3" t="n">
        <v>0.0008</v>
      </c>
      <c r="I44" s="1" t="n">
        <v>2</v>
      </c>
      <c r="J44" s="4" t="n">
        <v>14.21</v>
      </c>
      <c r="K44" s="15" t="n">
        <v>0.0417</v>
      </c>
      <c r="L44" s="1" t="n">
        <v>2</v>
      </c>
      <c r="M44" s="5" t="n">
        <v>140.17</v>
      </c>
      <c r="N44" s="5" t="n">
        <v>28.42</v>
      </c>
      <c r="O44" s="3" t="n">
        <v>0.2027</v>
      </c>
      <c r="S44" s="16" t="n">
        <v>0.3</v>
      </c>
      <c r="T44" s="17" t="n">
        <f aca="false">+S44*(M44-J44-N44)</f>
        <v>29.262</v>
      </c>
      <c r="U44" s="16" t="n">
        <f aca="false">+T44/M44</f>
        <v>0.208760790468717</v>
      </c>
      <c r="V44" s="18" t="n">
        <f aca="false">+T44*U44</f>
        <v>6.10875825069558</v>
      </c>
    </row>
    <row r="45" customFormat="false" ht="13.8" hidden="false" customHeight="false" outlineLevel="0" collapsed="false">
      <c r="A45" s="0" t="n">
        <f aca="false">+1+A44</f>
        <v>44</v>
      </c>
      <c r="B45" s="1" t="s">
        <v>22</v>
      </c>
      <c r="C45" s="2" t="s">
        <v>23</v>
      </c>
      <c r="D45" s="0" t="s">
        <v>58</v>
      </c>
      <c r="E45" s="1" t="s">
        <v>59</v>
      </c>
      <c r="F45" s="1" t="n">
        <v>54753</v>
      </c>
      <c r="G45" s="1" t="n">
        <v>91</v>
      </c>
      <c r="H45" s="3" t="n">
        <v>0.0017</v>
      </c>
      <c r="I45" s="1" t="n">
        <v>4</v>
      </c>
      <c r="J45" s="4" t="n">
        <v>13.4025</v>
      </c>
      <c r="K45" s="15" t="n">
        <v>0.044</v>
      </c>
      <c r="L45" s="1" t="n">
        <v>4</v>
      </c>
      <c r="M45" s="5" t="n">
        <v>329.95</v>
      </c>
      <c r="N45" s="5" t="n">
        <v>53.61</v>
      </c>
      <c r="O45" s="3" t="n">
        <v>0.1625</v>
      </c>
      <c r="S45" s="16" t="n">
        <v>0.3</v>
      </c>
      <c r="T45" s="17" t="n">
        <f aca="false">+S45*(M45-J45-N45)</f>
        <v>78.88125</v>
      </c>
      <c r="U45" s="16" t="n">
        <f aca="false">+T45/M45</f>
        <v>0.239070313683891</v>
      </c>
      <c r="V45" s="18" t="n">
        <f aca="false">+T45*U45</f>
        <v>18.8581651812775</v>
      </c>
    </row>
    <row r="46" customFormat="false" ht="13.8" hidden="false" customHeight="false" outlineLevel="0" collapsed="false">
      <c r="A46" s="0" t="n">
        <f aca="false">+1+A45</f>
        <v>45</v>
      </c>
      <c r="B46" s="1" t="s">
        <v>22</v>
      </c>
      <c r="C46" s="2" t="s">
        <v>23</v>
      </c>
      <c r="D46" s="0" t="s">
        <v>89</v>
      </c>
      <c r="E46" s="1" t="s">
        <v>90</v>
      </c>
      <c r="F46" s="1" t="n">
        <v>54454</v>
      </c>
      <c r="G46" s="1" t="n">
        <v>22</v>
      </c>
      <c r="H46" s="3" t="n">
        <v>0.0004</v>
      </c>
      <c r="I46" s="1" t="n">
        <v>1</v>
      </c>
      <c r="J46" s="4" t="n">
        <v>18.03</v>
      </c>
      <c r="K46" s="15" t="n">
        <v>0.0455</v>
      </c>
      <c r="L46" s="1" t="n">
        <v>1</v>
      </c>
      <c r="M46" s="5" t="n">
        <v>70.89</v>
      </c>
      <c r="N46" s="5" t="n">
        <v>18.03</v>
      </c>
      <c r="O46" s="3" t="n">
        <v>0.2543</v>
      </c>
      <c r="S46" s="16" t="n">
        <v>0.3</v>
      </c>
      <c r="T46" s="17" t="n">
        <f aca="false">+S46*(M46-J46-N46)</f>
        <v>10.449</v>
      </c>
      <c r="U46" s="16" t="n">
        <f aca="false">+T46/M46</f>
        <v>0.147397376216674</v>
      </c>
      <c r="V46" s="18" t="n">
        <f aca="false">+T46*U46</f>
        <v>1.54015518408802</v>
      </c>
    </row>
    <row r="47" customFormat="false" ht="13.8" hidden="false" customHeight="false" outlineLevel="0" collapsed="false">
      <c r="A47" s="0" t="n">
        <f aca="false">+1+A46</f>
        <v>46</v>
      </c>
      <c r="B47" s="1" t="s">
        <v>22</v>
      </c>
      <c r="C47" s="2" t="s">
        <v>23</v>
      </c>
      <c r="D47" s="0" t="s">
        <v>24</v>
      </c>
      <c r="E47" s="1" t="s">
        <v>25</v>
      </c>
      <c r="F47" s="1" t="n">
        <v>49987</v>
      </c>
      <c r="G47" s="1" t="n">
        <v>822</v>
      </c>
      <c r="H47" s="3" t="n">
        <v>0.0164</v>
      </c>
      <c r="I47" s="1" t="n">
        <v>42</v>
      </c>
      <c r="J47" s="4" t="n">
        <v>7.32095238095238</v>
      </c>
      <c r="K47" s="15" t="n">
        <v>0.0511</v>
      </c>
      <c r="L47" s="1" t="n">
        <v>42</v>
      </c>
      <c r="M47" s="5" t="n">
        <v>2913.73</v>
      </c>
      <c r="N47" s="5" t="n">
        <v>307.48</v>
      </c>
      <c r="O47" s="3" t="n">
        <v>0.1055</v>
      </c>
      <c r="S47" s="16" t="n">
        <v>0.3</v>
      </c>
      <c r="T47" s="17" t="n">
        <f aca="false">+S47*(M47-J47-N47)</f>
        <v>779.678714285714</v>
      </c>
      <c r="U47" s="16" t="n">
        <f aca="false">+T47/M47</f>
        <v>0.267587839053623</v>
      </c>
      <c r="V47" s="18" t="n">
        <f aca="false">+T47*U47</f>
        <v>208.632542311822</v>
      </c>
    </row>
    <row r="48" customFormat="false" ht="13.8" hidden="false" customHeight="false" outlineLevel="0" collapsed="false">
      <c r="A48" s="0" t="n">
        <f aca="false">+1+A47</f>
        <v>47</v>
      </c>
      <c r="B48" s="1" t="s">
        <v>22</v>
      </c>
      <c r="C48" s="2" t="s">
        <v>23</v>
      </c>
      <c r="D48" s="0" t="s">
        <v>91</v>
      </c>
      <c r="E48" s="1" t="s">
        <v>92</v>
      </c>
      <c r="F48" s="1" t="n">
        <v>49622</v>
      </c>
      <c r="G48" s="1" t="n">
        <v>102</v>
      </c>
      <c r="H48" s="3" t="n">
        <v>0.0021</v>
      </c>
      <c r="I48" s="1" t="n">
        <v>42</v>
      </c>
      <c r="J48" s="4" t="n">
        <v>4.68642857142857</v>
      </c>
      <c r="K48" s="15" t="n">
        <v>0.4118</v>
      </c>
      <c r="L48" s="1" t="n">
        <v>42</v>
      </c>
      <c r="M48" s="5" t="n">
        <v>3117.8</v>
      </c>
      <c r="N48" s="5" t="n">
        <v>196.83</v>
      </c>
      <c r="O48" s="3" t="n">
        <v>0.0631</v>
      </c>
      <c r="S48" s="16" t="n">
        <v>0.3</v>
      </c>
      <c r="T48" s="17" t="n">
        <f aca="false">+S48*(M48-J48-N48)</f>
        <v>874.885071428571</v>
      </c>
      <c r="U48" s="16" t="n">
        <f aca="false">+T48/M48</f>
        <v>0.28060974771588</v>
      </c>
      <c r="V48" s="18" t="n">
        <f aca="false">+T48*U48</f>
        <v>245.501279173961</v>
      </c>
    </row>
    <row r="49" customFormat="false" ht="13.8" hidden="false" customHeight="false" outlineLevel="0" collapsed="false">
      <c r="A49" s="0" t="n">
        <f aca="false">+1+A48</f>
        <v>48</v>
      </c>
      <c r="B49" s="1" t="s">
        <v>22</v>
      </c>
      <c r="C49" s="2" t="s">
        <v>23</v>
      </c>
      <c r="D49" s="0" t="s">
        <v>93</v>
      </c>
      <c r="E49" s="1" t="s">
        <v>94</v>
      </c>
      <c r="F49" s="1" t="n">
        <v>47326</v>
      </c>
      <c r="G49" s="1" t="n">
        <v>121</v>
      </c>
      <c r="H49" s="3" t="n">
        <v>0.0026</v>
      </c>
      <c r="I49" s="1" t="n">
        <v>5</v>
      </c>
      <c r="J49" s="4" t="n">
        <v>29.116</v>
      </c>
      <c r="K49" s="15" t="n">
        <v>0.0413</v>
      </c>
      <c r="L49" s="1" t="n">
        <v>5</v>
      </c>
      <c r="M49" s="5" t="n">
        <v>483.84</v>
      </c>
      <c r="N49" s="5" t="n">
        <v>145.58</v>
      </c>
      <c r="O49" s="3" t="n">
        <v>0.3009</v>
      </c>
      <c r="S49" s="16" t="n">
        <v>0.3</v>
      </c>
      <c r="T49" s="17" t="n">
        <f aca="false">+S49*(M49-J49-N49)</f>
        <v>92.7432</v>
      </c>
      <c r="U49" s="16" t="n">
        <f aca="false">+T49/M49</f>
        <v>0.191681547619048</v>
      </c>
      <c r="V49" s="18" t="n">
        <f aca="false">+T49*U49</f>
        <v>17.7771601071429</v>
      </c>
    </row>
    <row r="50" customFormat="false" ht="13.8" hidden="false" customHeight="false" outlineLevel="0" collapsed="false">
      <c r="A50" s="0" t="n">
        <f aca="false">+1+A49</f>
        <v>49</v>
      </c>
      <c r="B50" s="1" t="s">
        <v>22</v>
      </c>
      <c r="C50" s="2" t="s">
        <v>23</v>
      </c>
      <c r="D50" s="0" t="s">
        <v>95</v>
      </c>
      <c r="E50" s="1" t="s">
        <v>96</v>
      </c>
      <c r="F50" s="1" t="n">
        <v>45594</v>
      </c>
      <c r="G50" s="1" t="n">
        <v>41</v>
      </c>
      <c r="H50" s="3" t="n">
        <v>0.0009</v>
      </c>
      <c r="I50" s="1" t="n">
        <v>2</v>
      </c>
      <c r="J50" s="4" t="n">
        <v>23.335</v>
      </c>
      <c r="K50" s="15" t="n">
        <v>0.0488</v>
      </c>
      <c r="L50" s="1" t="n">
        <v>2</v>
      </c>
      <c r="M50" s="5" t="n">
        <v>96.2</v>
      </c>
      <c r="N50" s="5" t="n">
        <v>46.67</v>
      </c>
      <c r="O50" s="3" t="n">
        <v>0.4851</v>
      </c>
      <c r="S50" s="16" t="n">
        <v>0.3</v>
      </c>
      <c r="T50" s="17" t="n">
        <f aca="false">+S50*(M50-J50-N50)</f>
        <v>7.8585</v>
      </c>
      <c r="U50" s="16" t="n">
        <f aca="false">+T50/M50</f>
        <v>0.0816891891891892</v>
      </c>
      <c r="V50" s="18" t="n">
        <f aca="false">+T50*U50</f>
        <v>0.641954493243243</v>
      </c>
    </row>
    <row r="51" customFormat="false" ht="13.8" hidden="false" customHeight="false" outlineLevel="0" collapsed="false">
      <c r="A51" s="0" t="n">
        <f aca="false">+1+A50</f>
        <v>50</v>
      </c>
      <c r="B51" s="1" t="s">
        <v>22</v>
      </c>
      <c r="C51" s="2" t="s">
        <v>23</v>
      </c>
      <c r="D51" s="0" t="s">
        <v>97</v>
      </c>
      <c r="E51" s="1" t="s">
        <v>98</v>
      </c>
      <c r="F51" s="1" t="n">
        <v>45187</v>
      </c>
      <c r="G51" s="1" t="n">
        <v>75</v>
      </c>
      <c r="H51" s="3" t="n">
        <v>0.0017</v>
      </c>
      <c r="I51" s="1" t="n">
        <v>5</v>
      </c>
      <c r="J51" s="4" t="n">
        <v>3.226</v>
      </c>
      <c r="K51" s="15" t="n">
        <v>0.0667</v>
      </c>
      <c r="L51" s="1" t="n">
        <v>5</v>
      </c>
      <c r="M51" s="5" t="n">
        <v>193.7</v>
      </c>
      <c r="N51" s="5" t="n">
        <v>16.13</v>
      </c>
      <c r="O51" s="3" t="n">
        <v>0.0833</v>
      </c>
      <c r="S51" s="16" t="n">
        <v>0.3</v>
      </c>
      <c r="T51" s="17" t="n">
        <f aca="false">+S51*(M51-J51-N51)</f>
        <v>52.3032</v>
      </c>
      <c r="U51" s="16" t="n">
        <f aca="false">+T51/M51</f>
        <v>0.270021683014972</v>
      </c>
      <c r="V51" s="18" t="n">
        <f aca="false">+T51*U51</f>
        <v>14.1229980910687</v>
      </c>
    </row>
    <row r="52" customFormat="false" ht="13.8" hidden="false" customHeight="false" outlineLevel="0" collapsed="false">
      <c r="A52" s="0" t="n">
        <f aca="false">+1+A51</f>
        <v>51</v>
      </c>
      <c r="B52" s="1" t="s">
        <v>22</v>
      </c>
      <c r="C52" s="2" t="s">
        <v>23</v>
      </c>
      <c r="D52" s="0" t="s">
        <v>99</v>
      </c>
      <c r="E52" s="1" t="s">
        <v>100</v>
      </c>
      <c r="F52" s="1" t="n">
        <v>44785</v>
      </c>
      <c r="G52" s="1" t="n">
        <v>56</v>
      </c>
      <c r="H52" s="3" t="n">
        <v>0.0013</v>
      </c>
      <c r="I52" s="1" t="n">
        <v>2</v>
      </c>
      <c r="J52" s="4" t="n">
        <v>14.26</v>
      </c>
      <c r="K52" s="15" t="n">
        <v>0.0357</v>
      </c>
      <c r="L52" s="1" t="n">
        <v>2</v>
      </c>
      <c r="M52" s="5" t="n">
        <v>207.14</v>
      </c>
      <c r="N52" s="5" t="n">
        <v>28.52</v>
      </c>
      <c r="O52" s="3" t="n">
        <v>0.1377</v>
      </c>
      <c r="S52" s="16" t="n">
        <v>0.3</v>
      </c>
      <c r="T52" s="17" t="n">
        <f aca="false">+S52*(M52-J52-N52)</f>
        <v>49.308</v>
      </c>
      <c r="U52" s="16" t="n">
        <f aca="false">+T52/M52</f>
        <v>0.238041904026262</v>
      </c>
      <c r="V52" s="18" t="n">
        <f aca="false">+T52*U52</f>
        <v>11.7373702037269</v>
      </c>
    </row>
    <row r="53" customFormat="false" ht="13.8" hidden="false" customHeight="false" outlineLevel="0" collapsed="false">
      <c r="A53" s="0" t="n">
        <f aca="false">+1+A52</f>
        <v>52</v>
      </c>
      <c r="B53" s="1" t="s">
        <v>22</v>
      </c>
      <c r="C53" s="2" t="s">
        <v>23</v>
      </c>
      <c r="D53" s="0" t="s">
        <v>38</v>
      </c>
      <c r="E53" s="1" t="s">
        <v>39</v>
      </c>
      <c r="F53" s="1" t="n">
        <v>44079</v>
      </c>
      <c r="G53" s="1" t="n">
        <v>87</v>
      </c>
      <c r="H53" s="3" t="n">
        <v>0.002</v>
      </c>
      <c r="I53" s="1" t="n">
        <v>4</v>
      </c>
      <c r="J53" s="4" t="n">
        <v>15.815</v>
      </c>
      <c r="K53" s="15" t="n">
        <v>0.046</v>
      </c>
      <c r="L53" s="1" t="n">
        <v>4</v>
      </c>
      <c r="M53" s="5" t="n">
        <v>276.08</v>
      </c>
      <c r="N53" s="5" t="n">
        <v>63.26</v>
      </c>
      <c r="O53" s="3" t="n">
        <v>0.2291</v>
      </c>
      <c r="S53" s="16" t="n">
        <v>0.3</v>
      </c>
      <c r="T53" s="17" t="n">
        <f aca="false">+S53*(M53-J53-N53)</f>
        <v>59.1015</v>
      </c>
      <c r="U53" s="16" t="n">
        <f aca="false">+T53/M53</f>
        <v>0.214073819182846</v>
      </c>
      <c r="V53" s="18" t="n">
        <f aca="false">+T53*U53</f>
        <v>12.6520838244349</v>
      </c>
    </row>
    <row r="54" customFormat="false" ht="13.8" hidden="false" customHeight="false" outlineLevel="0" collapsed="false">
      <c r="A54" s="0" t="n">
        <f aca="false">+1+A53</f>
        <v>53</v>
      </c>
      <c r="B54" s="1" t="s">
        <v>22</v>
      </c>
      <c r="C54" s="2" t="s">
        <v>23</v>
      </c>
      <c r="D54" s="0" t="s">
        <v>101</v>
      </c>
      <c r="E54" s="1" t="s">
        <v>102</v>
      </c>
      <c r="F54" s="1" t="n">
        <v>43981</v>
      </c>
      <c r="G54" s="1" t="n">
        <v>90</v>
      </c>
      <c r="H54" s="3" t="n">
        <v>0.002</v>
      </c>
      <c r="I54" s="1" t="n">
        <v>6</v>
      </c>
      <c r="J54" s="4" t="n">
        <v>3.27</v>
      </c>
      <c r="K54" s="15" t="n">
        <v>0.0667</v>
      </c>
      <c r="L54" s="1" t="n">
        <v>6</v>
      </c>
      <c r="M54" s="5" t="n">
        <v>314.66</v>
      </c>
      <c r="N54" s="5" t="n">
        <v>19.62</v>
      </c>
      <c r="O54" s="3" t="n">
        <v>0.0624</v>
      </c>
      <c r="S54" s="16" t="n">
        <v>0.3</v>
      </c>
      <c r="T54" s="17" t="n">
        <f aca="false">+S54*(M54-J54-N54)</f>
        <v>87.531</v>
      </c>
      <c r="U54" s="16" t="n">
        <f aca="false">+T54/M54</f>
        <v>0.278176444416195</v>
      </c>
      <c r="V54" s="18" t="n">
        <f aca="false">+T54*U54</f>
        <v>24.349062356194</v>
      </c>
    </row>
    <row r="55" customFormat="false" ht="13.8" hidden="false" customHeight="false" outlineLevel="0" collapsed="false">
      <c r="A55" s="0" t="n">
        <f aca="false">+1+A54</f>
        <v>54</v>
      </c>
      <c r="B55" s="1" t="s">
        <v>22</v>
      </c>
      <c r="C55" s="2" t="s">
        <v>23</v>
      </c>
      <c r="D55" s="0" t="s">
        <v>103</v>
      </c>
      <c r="E55" s="1" t="s">
        <v>104</v>
      </c>
      <c r="F55" s="1" t="n">
        <v>43147</v>
      </c>
      <c r="G55" s="1" t="n">
        <v>174</v>
      </c>
      <c r="H55" s="3" t="n">
        <v>0.004</v>
      </c>
      <c r="I55" s="1" t="n">
        <v>7</v>
      </c>
      <c r="J55" s="4" t="n">
        <v>12.5157142857143</v>
      </c>
      <c r="K55" s="15" t="n">
        <v>0.0402</v>
      </c>
      <c r="L55" s="1" t="n">
        <v>7</v>
      </c>
      <c r="M55" s="5" t="n">
        <v>411.46</v>
      </c>
      <c r="N55" s="5" t="n">
        <v>87.61</v>
      </c>
      <c r="O55" s="3" t="n">
        <v>0.2129</v>
      </c>
      <c r="S55" s="16" t="n">
        <v>0.3</v>
      </c>
      <c r="T55" s="17" t="n">
        <f aca="false">+S55*(M55-J55-N55)</f>
        <v>93.4002857142857</v>
      </c>
      <c r="U55" s="16" t="n">
        <f aca="false">+T55/M55</f>
        <v>0.226997243266139</v>
      </c>
      <c r="V55" s="18" t="n">
        <f aca="false">+T55*U55</f>
        <v>21.2016073774126</v>
      </c>
    </row>
    <row r="56" customFormat="false" ht="13.8" hidden="false" customHeight="false" outlineLevel="0" collapsed="false">
      <c r="A56" s="0" t="n">
        <f aca="false">+1+A55</f>
        <v>55</v>
      </c>
      <c r="B56" s="1" t="s">
        <v>22</v>
      </c>
      <c r="C56" s="2" t="s">
        <v>23</v>
      </c>
      <c r="D56" s="0" t="s">
        <v>40</v>
      </c>
      <c r="E56" s="1" t="s">
        <v>41</v>
      </c>
      <c r="F56" s="1" t="n">
        <v>42238</v>
      </c>
      <c r="G56" s="1" t="n">
        <v>171</v>
      </c>
      <c r="H56" s="3" t="n">
        <v>0.004</v>
      </c>
      <c r="I56" s="1" t="n">
        <v>15</v>
      </c>
      <c r="J56" s="4" t="n">
        <v>5.94733333333333</v>
      </c>
      <c r="K56" s="15" t="n">
        <v>0.0877</v>
      </c>
      <c r="L56" s="1" t="n">
        <v>15</v>
      </c>
      <c r="M56" s="5" t="n">
        <v>1065.81</v>
      </c>
      <c r="N56" s="5" t="n">
        <v>89.21</v>
      </c>
      <c r="O56" s="3" t="n">
        <v>0.0837</v>
      </c>
      <c r="S56" s="16" t="n">
        <v>0.3</v>
      </c>
      <c r="T56" s="17" t="n">
        <f aca="false">+S56*(M56-J56-N56)</f>
        <v>291.1958</v>
      </c>
      <c r="U56" s="16" t="n">
        <f aca="false">+T56/M56</f>
        <v>0.273215488689354</v>
      </c>
      <c r="V56" s="18" t="n">
        <f aca="false">+T56*U56</f>
        <v>79.5592028012873</v>
      </c>
    </row>
    <row r="57" customFormat="false" ht="13.8" hidden="false" customHeight="false" outlineLevel="0" collapsed="false">
      <c r="A57" s="0" t="n">
        <f aca="false">+1+A56</f>
        <v>56</v>
      </c>
      <c r="B57" s="1" t="s">
        <v>22</v>
      </c>
      <c r="C57" s="2" t="s">
        <v>23</v>
      </c>
      <c r="D57" s="0" t="s">
        <v>105</v>
      </c>
      <c r="E57" s="1" t="s">
        <v>106</v>
      </c>
      <c r="F57" s="1" t="n">
        <v>41846</v>
      </c>
      <c r="G57" s="1" t="n">
        <v>20</v>
      </c>
      <c r="H57" s="3" t="n">
        <v>0.0005</v>
      </c>
      <c r="I57" s="1" t="n">
        <v>1</v>
      </c>
      <c r="J57" s="4" t="n">
        <v>19.49</v>
      </c>
      <c r="K57" s="15" t="n">
        <v>0.05</v>
      </c>
      <c r="L57" s="1" t="n">
        <v>1</v>
      </c>
      <c r="M57" s="5" t="n">
        <v>63.55</v>
      </c>
      <c r="N57" s="5" t="n">
        <v>19.49</v>
      </c>
      <c r="O57" s="3" t="n">
        <v>0.3067</v>
      </c>
      <c r="S57" s="16" t="n">
        <v>0.3</v>
      </c>
      <c r="T57" s="17" t="n">
        <f aca="false">+S57*(M57-J57-N57)</f>
        <v>7.371</v>
      </c>
      <c r="U57" s="16" t="n">
        <f aca="false">+T57/M57</f>
        <v>0.115987411487018</v>
      </c>
      <c r="V57" s="18" t="n">
        <f aca="false">+T57*U57</f>
        <v>0.85494321007081</v>
      </c>
    </row>
    <row r="58" customFormat="false" ht="13.8" hidden="false" customHeight="false" outlineLevel="0" collapsed="false">
      <c r="A58" s="0" t="n">
        <f aca="false">+1+A57</f>
        <v>57</v>
      </c>
      <c r="B58" s="1" t="s">
        <v>22</v>
      </c>
      <c r="C58" s="2" t="s">
        <v>23</v>
      </c>
      <c r="D58" s="0" t="s">
        <v>60</v>
      </c>
      <c r="E58" s="1" t="s">
        <v>61</v>
      </c>
      <c r="F58" s="1" t="n">
        <v>40952</v>
      </c>
      <c r="G58" s="1" t="n">
        <v>83</v>
      </c>
      <c r="H58" s="3" t="n">
        <v>0.002</v>
      </c>
      <c r="I58" s="1" t="n">
        <v>5</v>
      </c>
      <c r="J58" s="4" t="n">
        <v>8.23</v>
      </c>
      <c r="K58" s="15" t="n">
        <v>0.0602</v>
      </c>
      <c r="L58" s="1" t="n">
        <v>5</v>
      </c>
      <c r="M58" s="5" t="n">
        <v>225.7</v>
      </c>
      <c r="N58" s="5" t="n">
        <v>41.15</v>
      </c>
      <c r="O58" s="3" t="n">
        <v>0.1823</v>
      </c>
      <c r="S58" s="16" t="n">
        <v>0.3</v>
      </c>
      <c r="T58" s="17" t="n">
        <f aca="false">+S58*(M58-J58-N58)</f>
        <v>52.896</v>
      </c>
      <c r="U58" s="16" t="n">
        <f aca="false">+T58/M58</f>
        <v>0.23436420026584</v>
      </c>
      <c r="V58" s="18" t="n">
        <f aca="false">+T58*U58</f>
        <v>12.3969287372619</v>
      </c>
    </row>
    <row r="59" customFormat="false" ht="13.8" hidden="false" customHeight="false" outlineLevel="0" collapsed="false">
      <c r="A59" s="0" t="n">
        <f aca="false">+1+A58</f>
        <v>58</v>
      </c>
      <c r="B59" s="1" t="s">
        <v>22</v>
      </c>
      <c r="C59" s="2" t="s">
        <v>23</v>
      </c>
      <c r="D59" s="0" t="s">
        <v>60</v>
      </c>
      <c r="E59" s="1" t="s">
        <v>61</v>
      </c>
      <c r="F59" s="1" t="n">
        <v>37093</v>
      </c>
      <c r="G59" s="1" t="n">
        <v>77</v>
      </c>
      <c r="H59" s="3" t="n">
        <v>0.0021</v>
      </c>
      <c r="I59" s="1" t="n">
        <v>2</v>
      </c>
      <c r="J59" s="4" t="n">
        <v>13.57</v>
      </c>
      <c r="K59" s="15" t="n">
        <v>0.026</v>
      </c>
      <c r="L59" s="1" t="n">
        <v>2</v>
      </c>
      <c r="M59" s="5" t="n">
        <v>80.96</v>
      </c>
      <c r="N59" s="5" t="n">
        <v>27.14</v>
      </c>
      <c r="O59" s="3" t="n">
        <v>0.3352</v>
      </c>
      <c r="S59" s="16" t="n">
        <v>0.3</v>
      </c>
      <c r="T59" s="17" t="n">
        <f aca="false">+S59*(M59-J59-N59)</f>
        <v>12.075</v>
      </c>
      <c r="U59" s="16" t="n">
        <f aca="false">+T59/M59</f>
        <v>0.149147727272727</v>
      </c>
      <c r="V59" s="18" t="n">
        <f aca="false">+T59*U59</f>
        <v>1.80095880681818</v>
      </c>
    </row>
    <row r="60" customFormat="false" ht="13.8" hidden="false" customHeight="false" outlineLevel="0" collapsed="false">
      <c r="A60" s="0" t="n">
        <f aca="false">+1+A59</f>
        <v>59</v>
      </c>
      <c r="B60" s="1" t="s">
        <v>22</v>
      </c>
      <c r="C60" s="2" t="s">
        <v>23</v>
      </c>
      <c r="D60" s="0" t="s">
        <v>107</v>
      </c>
      <c r="E60" s="1" t="s">
        <v>108</v>
      </c>
      <c r="F60" s="1" t="n">
        <v>36842</v>
      </c>
      <c r="G60" s="1" t="n">
        <v>75</v>
      </c>
      <c r="H60" s="3" t="n">
        <v>0.002</v>
      </c>
      <c r="I60" s="1" t="n">
        <v>11</v>
      </c>
      <c r="J60" s="4" t="n">
        <v>3.02545454545454</v>
      </c>
      <c r="K60" s="15" t="n">
        <v>0.1467</v>
      </c>
      <c r="L60" s="1" t="n">
        <v>11</v>
      </c>
      <c r="M60" s="5" t="n">
        <v>464.43</v>
      </c>
      <c r="N60" s="5" t="n">
        <v>33.28</v>
      </c>
      <c r="O60" s="3" t="n">
        <v>0.0717</v>
      </c>
      <c r="S60" s="16" t="n">
        <v>0.3</v>
      </c>
      <c r="T60" s="17" t="n">
        <f aca="false">+S60*(M60-J60-N60)</f>
        <v>128.437363636364</v>
      </c>
      <c r="U60" s="16" t="n">
        <f aca="false">+T60/M60</f>
        <v>0.276548378951324</v>
      </c>
      <c r="V60" s="18" t="n">
        <f aca="false">+T60*U60</f>
        <v>35.5191447104182</v>
      </c>
    </row>
    <row r="61" customFormat="false" ht="13.8" hidden="false" customHeight="false" outlineLevel="0" collapsed="false">
      <c r="A61" s="0" t="n">
        <f aca="false">+1+A60</f>
        <v>60</v>
      </c>
      <c r="B61" s="1" t="s">
        <v>22</v>
      </c>
      <c r="C61" s="2" t="s">
        <v>23</v>
      </c>
      <c r="D61" s="0" t="s">
        <v>109</v>
      </c>
      <c r="E61" s="1" t="s">
        <v>110</v>
      </c>
      <c r="F61" s="1" t="n">
        <v>36774</v>
      </c>
      <c r="G61" s="1" t="n">
        <v>160</v>
      </c>
      <c r="H61" s="3" t="n">
        <v>0.0044</v>
      </c>
      <c r="I61" s="1" t="n">
        <v>8</v>
      </c>
      <c r="J61" s="4" t="n">
        <v>22.85625</v>
      </c>
      <c r="K61" s="15" t="n">
        <v>0.05</v>
      </c>
      <c r="L61" s="1" t="n">
        <v>8</v>
      </c>
      <c r="M61" s="5" t="n">
        <v>527.58</v>
      </c>
      <c r="N61" s="5" t="n">
        <v>182.85</v>
      </c>
      <c r="O61" s="3" t="n">
        <v>0.3466</v>
      </c>
      <c r="S61" s="16" t="n">
        <v>0.3</v>
      </c>
      <c r="T61" s="17" t="n">
        <f aca="false">+S61*(M61-J61-N61)</f>
        <v>96.562125</v>
      </c>
      <c r="U61" s="16" t="n">
        <f aca="false">+T61/M61</f>
        <v>0.183028403275333</v>
      </c>
      <c r="V61" s="18" t="n">
        <f aca="false">+T61*U61</f>
        <v>17.6736115556231</v>
      </c>
    </row>
    <row r="62" customFormat="false" ht="13.8" hidden="false" customHeight="false" outlineLevel="0" collapsed="false">
      <c r="A62" s="0" t="n">
        <f aca="false">+1+A61</f>
        <v>61</v>
      </c>
      <c r="B62" s="1" t="s">
        <v>22</v>
      </c>
      <c r="C62" s="2" t="s">
        <v>23</v>
      </c>
      <c r="D62" s="0" t="s">
        <v>46</v>
      </c>
      <c r="E62" s="1" t="s">
        <v>47</v>
      </c>
      <c r="F62" s="1" t="n">
        <v>35618</v>
      </c>
      <c r="G62" s="1" t="n">
        <v>106</v>
      </c>
      <c r="H62" s="3" t="n">
        <v>0.003</v>
      </c>
      <c r="I62" s="1" t="n">
        <v>10</v>
      </c>
      <c r="J62" s="4" t="n">
        <v>12.571</v>
      </c>
      <c r="K62" s="15" t="n">
        <v>0.0943</v>
      </c>
      <c r="L62" s="1" t="n">
        <v>10</v>
      </c>
      <c r="M62" s="5" t="n">
        <v>694.94</v>
      </c>
      <c r="N62" s="5" t="n">
        <v>125.71</v>
      </c>
      <c r="O62" s="3" t="n">
        <v>0.1809</v>
      </c>
      <c r="S62" s="16" t="n">
        <v>0.3</v>
      </c>
      <c r="T62" s="17" t="n">
        <f aca="false">+S62*(M62-J62-N62)</f>
        <v>166.9977</v>
      </c>
      <c r="U62" s="16" t="n">
        <f aca="false">+T62/M62</f>
        <v>0.240305206204852</v>
      </c>
      <c r="V62" s="18" t="n">
        <f aca="false">+T62*U62</f>
        <v>40.130416734236</v>
      </c>
    </row>
    <row r="63" customFormat="false" ht="13.8" hidden="false" customHeight="false" outlineLevel="0" collapsed="false">
      <c r="A63" s="0" t="n">
        <f aca="false">+1+A62</f>
        <v>62</v>
      </c>
      <c r="B63" s="1" t="s">
        <v>22</v>
      </c>
      <c r="C63" s="2" t="s">
        <v>23</v>
      </c>
      <c r="D63" s="0" t="s">
        <v>111</v>
      </c>
      <c r="E63" s="1" t="s">
        <v>112</v>
      </c>
      <c r="F63" s="1" t="n">
        <v>35554</v>
      </c>
      <c r="G63" s="1" t="n">
        <v>29</v>
      </c>
      <c r="H63" s="3" t="n">
        <v>0.0008</v>
      </c>
      <c r="I63" s="1" t="n">
        <v>0</v>
      </c>
      <c r="K63" s="15"/>
      <c r="L63" s="1" t="n">
        <v>0</v>
      </c>
      <c r="M63" s="5" t="n">
        <v>0</v>
      </c>
      <c r="N63" s="5" t="n">
        <v>9.42</v>
      </c>
      <c r="S63" s="16" t="n">
        <v>0.3</v>
      </c>
      <c r="T63" s="17" t="n">
        <f aca="false">+S63*(M63-J63-N63)</f>
        <v>-2.826</v>
      </c>
      <c r="U63" s="16" t="e">
        <f aca="false">+T63/M63</f>
        <v>#DIV/0!</v>
      </c>
      <c r="V63" s="18" t="e">
        <f aca="false">+T63*U63</f>
        <v>#DIV/0!</v>
      </c>
    </row>
    <row r="64" customFormat="false" ht="13.8" hidden="false" customHeight="false" outlineLevel="0" collapsed="false">
      <c r="A64" s="0" t="n">
        <f aca="false">+1+A63</f>
        <v>63</v>
      </c>
      <c r="B64" s="1" t="s">
        <v>22</v>
      </c>
      <c r="C64" s="2" t="s">
        <v>23</v>
      </c>
      <c r="D64" s="0" t="s">
        <v>95</v>
      </c>
      <c r="E64" s="1" t="s">
        <v>96</v>
      </c>
      <c r="F64" s="1" t="n">
        <v>34687</v>
      </c>
      <c r="G64" s="1" t="n">
        <v>32</v>
      </c>
      <c r="H64" s="3" t="n">
        <v>0.0009</v>
      </c>
      <c r="I64" s="1" t="n">
        <v>2</v>
      </c>
      <c r="J64" s="4" t="n">
        <v>14.32</v>
      </c>
      <c r="K64" s="15" t="n">
        <v>0.0625</v>
      </c>
      <c r="L64" s="1" t="n">
        <v>2</v>
      </c>
      <c r="M64" s="5" t="n">
        <v>89.1</v>
      </c>
      <c r="N64" s="5" t="n">
        <v>28.64</v>
      </c>
      <c r="O64" s="3" t="n">
        <v>0.3214</v>
      </c>
      <c r="S64" s="16" t="n">
        <v>0.3</v>
      </c>
      <c r="T64" s="17" t="n">
        <f aca="false">+S64*(M64-J64-N64)</f>
        <v>13.842</v>
      </c>
      <c r="U64" s="16" t="n">
        <f aca="false">+T64/M64</f>
        <v>0.155353535353535</v>
      </c>
      <c r="V64" s="18" t="n">
        <f aca="false">+T64*U64</f>
        <v>2.15040363636364</v>
      </c>
    </row>
    <row r="65" customFormat="false" ht="13.8" hidden="false" customHeight="false" outlineLevel="0" collapsed="false">
      <c r="A65" s="0" t="n">
        <f aca="false">+1+A64</f>
        <v>64</v>
      </c>
      <c r="B65" s="1" t="s">
        <v>22</v>
      </c>
      <c r="C65" s="2" t="s">
        <v>23</v>
      </c>
      <c r="D65" s="0" t="s">
        <v>113</v>
      </c>
      <c r="E65" s="1" t="s">
        <v>114</v>
      </c>
      <c r="F65" s="1" t="n">
        <v>34187</v>
      </c>
      <c r="G65" s="1" t="n">
        <v>32</v>
      </c>
      <c r="H65" s="3" t="n">
        <v>0.0009</v>
      </c>
      <c r="I65" s="1" t="n">
        <v>1</v>
      </c>
      <c r="J65" s="4" t="n">
        <v>3.59</v>
      </c>
      <c r="K65" s="15" t="n">
        <v>0.0312</v>
      </c>
      <c r="L65" s="1" t="n">
        <v>1</v>
      </c>
      <c r="M65" s="5" t="n">
        <v>48.35</v>
      </c>
      <c r="N65" s="5" t="n">
        <v>3.59</v>
      </c>
      <c r="O65" s="3" t="n">
        <v>0.0742</v>
      </c>
      <c r="S65" s="16" t="n">
        <v>0.3</v>
      </c>
      <c r="T65" s="17" t="n">
        <f aca="false">+S65*(M65-J65-N65)</f>
        <v>12.351</v>
      </c>
      <c r="U65" s="16" t="n">
        <f aca="false">+T65/M65</f>
        <v>0.255449844881075</v>
      </c>
      <c r="V65" s="18" t="n">
        <f aca="false">+T65*U65</f>
        <v>3.15506103412616</v>
      </c>
    </row>
    <row r="66" customFormat="false" ht="13.8" hidden="false" customHeight="false" outlineLevel="0" collapsed="false">
      <c r="A66" s="0" t="n">
        <f aca="false">+1+A65</f>
        <v>65</v>
      </c>
      <c r="B66" s="1" t="s">
        <v>22</v>
      </c>
      <c r="C66" s="2" t="s">
        <v>23</v>
      </c>
      <c r="D66" s="0" t="s">
        <v>115</v>
      </c>
      <c r="E66" s="1" t="s">
        <v>116</v>
      </c>
      <c r="F66" s="1" t="n">
        <v>33896</v>
      </c>
      <c r="G66" s="1" t="n">
        <v>56</v>
      </c>
      <c r="H66" s="3" t="n">
        <v>0.0017</v>
      </c>
      <c r="I66" s="1" t="n">
        <v>1</v>
      </c>
      <c r="J66" s="4" t="n">
        <v>22.48</v>
      </c>
      <c r="K66" s="15" t="n">
        <v>0.0179</v>
      </c>
      <c r="L66" s="1" t="n">
        <v>1</v>
      </c>
      <c r="M66" s="5" t="n">
        <v>69.47</v>
      </c>
      <c r="N66" s="5" t="n">
        <v>22.48</v>
      </c>
      <c r="O66" s="3" t="n">
        <v>0.3236</v>
      </c>
      <c r="S66" s="16" t="n">
        <v>0.3</v>
      </c>
      <c r="T66" s="17" t="n">
        <f aca="false">+S66*(M66-J66-N66)</f>
        <v>7.353</v>
      </c>
      <c r="U66" s="16" t="n">
        <f aca="false">+T66/M66</f>
        <v>0.105844249316252</v>
      </c>
      <c r="V66" s="18" t="n">
        <f aca="false">+T66*U66</f>
        <v>0.778272765222398</v>
      </c>
    </row>
    <row r="67" customFormat="false" ht="13.8" hidden="false" customHeight="false" outlineLevel="0" collapsed="false">
      <c r="A67" s="0" t="n">
        <f aca="false">+1+A66</f>
        <v>66</v>
      </c>
      <c r="B67" s="1" t="s">
        <v>22</v>
      </c>
      <c r="C67" s="2" t="s">
        <v>23</v>
      </c>
      <c r="D67" s="0" t="s">
        <v>117</v>
      </c>
      <c r="E67" s="1" t="s">
        <v>118</v>
      </c>
      <c r="F67" s="1" t="n">
        <v>28554</v>
      </c>
      <c r="G67" s="1" t="n">
        <v>30</v>
      </c>
      <c r="H67" s="3" t="n">
        <v>0.0011</v>
      </c>
      <c r="I67" s="1" t="n">
        <v>2</v>
      </c>
      <c r="J67" s="4" t="n">
        <v>6.785</v>
      </c>
      <c r="K67" s="15" t="n">
        <v>0.0667</v>
      </c>
      <c r="L67" s="1" t="n">
        <v>2</v>
      </c>
      <c r="M67" s="5" t="n">
        <v>174.71</v>
      </c>
      <c r="N67" s="5" t="n">
        <v>13.57</v>
      </c>
      <c r="O67" s="3" t="n">
        <v>0.0777</v>
      </c>
      <c r="S67" s="16" t="n">
        <v>0.3</v>
      </c>
      <c r="T67" s="17" t="n">
        <f aca="false">+S67*(M67-J67-N67)</f>
        <v>46.3065</v>
      </c>
      <c r="U67" s="16" t="n">
        <f aca="false">+T67/M67</f>
        <v>0.265047793486349</v>
      </c>
      <c r="V67" s="18" t="n">
        <f aca="false">+T67*U67</f>
        <v>12.2734356490756</v>
      </c>
    </row>
    <row r="68" customFormat="false" ht="13.8" hidden="false" customHeight="false" outlineLevel="0" collapsed="false">
      <c r="A68" s="0" t="n">
        <f aca="false">+1+A67</f>
        <v>67</v>
      </c>
      <c r="B68" s="1" t="s">
        <v>22</v>
      </c>
      <c r="C68" s="2" t="s">
        <v>23</v>
      </c>
      <c r="D68" s="0" t="s">
        <v>42</v>
      </c>
      <c r="E68" s="1" t="s">
        <v>43</v>
      </c>
      <c r="F68" s="1" t="n">
        <v>27484</v>
      </c>
      <c r="G68" s="1" t="n">
        <v>99</v>
      </c>
      <c r="H68" s="3" t="n">
        <v>0.0036</v>
      </c>
      <c r="I68" s="1" t="n">
        <v>8</v>
      </c>
      <c r="J68" s="4" t="n">
        <v>12.55375</v>
      </c>
      <c r="K68" s="15" t="n">
        <v>0.0808</v>
      </c>
      <c r="L68" s="1" t="n">
        <v>8</v>
      </c>
      <c r="M68" s="5" t="n">
        <v>598.38</v>
      </c>
      <c r="N68" s="5" t="n">
        <v>100.43</v>
      </c>
      <c r="O68" s="3" t="n">
        <v>0.1678</v>
      </c>
      <c r="S68" s="16" t="n">
        <v>0.3</v>
      </c>
      <c r="T68" s="17" t="n">
        <f aca="false">+S68*(M68-J68-N68)</f>
        <v>145.618875</v>
      </c>
      <c r="U68" s="16" t="n">
        <f aca="false">+T68/M68</f>
        <v>0.243355183996791</v>
      </c>
      <c r="V68" s="18" t="n">
        <f aca="false">+T68*U68</f>
        <v>35.4371081190307</v>
      </c>
    </row>
    <row r="69" customFormat="false" ht="13.8" hidden="false" customHeight="false" outlineLevel="0" collapsed="false">
      <c r="A69" s="0" t="n">
        <f aca="false">+1+A68</f>
        <v>68</v>
      </c>
      <c r="B69" s="1" t="s">
        <v>22</v>
      </c>
      <c r="C69" s="2" t="s">
        <v>23</v>
      </c>
      <c r="D69" s="0" t="s">
        <v>119</v>
      </c>
      <c r="E69" s="1" t="s">
        <v>120</v>
      </c>
      <c r="F69" s="1" t="n">
        <v>26623</v>
      </c>
      <c r="G69" s="1" t="n">
        <v>84</v>
      </c>
      <c r="H69" s="3" t="n">
        <v>0.0032</v>
      </c>
      <c r="I69" s="1" t="n">
        <v>24</v>
      </c>
      <c r="J69" s="4" t="n">
        <v>4.79833333333333</v>
      </c>
      <c r="K69" s="15" t="n">
        <v>0.2857</v>
      </c>
      <c r="L69" s="1" t="n">
        <v>24</v>
      </c>
      <c r="M69" s="5" t="n">
        <v>1780.45</v>
      </c>
      <c r="N69" s="5" t="n">
        <v>115.16</v>
      </c>
      <c r="O69" s="3" t="n">
        <v>0.0647</v>
      </c>
      <c r="S69" s="16" t="n">
        <v>0.3</v>
      </c>
      <c r="T69" s="17" t="n">
        <f aca="false">+S69*(M69-J69-N69)</f>
        <v>498.1475</v>
      </c>
      <c r="U69" s="16" t="n">
        <f aca="false">+T69/M69</f>
        <v>0.279787413294392</v>
      </c>
      <c r="V69" s="18" t="n">
        <f aca="false">+T69*U69</f>
        <v>139.375400464068</v>
      </c>
    </row>
    <row r="70" customFormat="false" ht="13.8" hidden="false" customHeight="false" outlineLevel="0" collapsed="false">
      <c r="A70" s="0" t="n">
        <f aca="false">+1+A69</f>
        <v>69</v>
      </c>
      <c r="B70" s="1" t="s">
        <v>22</v>
      </c>
      <c r="C70" s="2" t="s">
        <v>23</v>
      </c>
      <c r="D70" s="0" t="s">
        <v>121</v>
      </c>
      <c r="E70" s="1" t="s">
        <v>122</v>
      </c>
      <c r="F70" s="1" t="n">
        <v>26348</v>
      </c>
      <c r="G70" s="1" t="n">
        <v>5</v>
      </c>
      <c r="H70" s="3" t="n">
        <v>0.0002</v>
      </c>
      <c r="I70" s="1" t="n">
        <v>0</v>
      </c>
      <c r="K70" s="15"/>
      <c r="L70" s="1" t="n">
        <v>0</v>
      </c>
      <c r="M70" s="5" t="n">
        <v>0</v>
      </c>
      <c r="N70" s="5" t="n">
        <v>4.89</v>
      </c>
      <c r="S70" s="16" t="n">
        <v>0.3</v>
      </c>
      <c r="T70" s="17" t="n">
        <f aca="false">+S70*(M70-J70-N70)</f>
        <v>-1.467</v>
      </c>
      <c r="U70" s="16" t="e">
        <f aca="false">+T70/M70</f>
        <v>#DIV/0!</v>
      </c>
      <c r="V70" s="18" t="e">
        <f aca="false">+T70*U70</f>
        <v>#DIV/0!</v>
      </c>
    </row>
    <row r="71" customFormat="false" ht="13.8" hidden="false" customHeight="false" outlineLevel="0" collapsed="false">
      <c r="A71" s="0" t="n">
        <f aca="false">+1+A70</f>
        <v>70</v>
      </c>
      <c r="B71" s="1" t="s">
        <v>22</v>
      </c>
      <c r="C71" s="2" t="s">
        <v>23</v>
      </c>
      <c r="D71" s="0" t="s">
        <v>38</v>
      </c>
      <c r="E71" s="1" t="s">
        <v>39</v>
      </c>
      <c r="F71" s="1" t="n">
        <v>26233</v>
      </c>
      <c r="G71" s="1" t="n">
        <v>58</v>
      </c>
      <c r="H71" s="3" t="n">
        <v>0.0022</v>
      </c>
      <c r="I71" s="1" t="n">
        <v>4</v>
      </c>
      <c r="J71" s="4" t="n">
        <v>15.7575</v>
      </c>
      <c r="K71" s="15" t="n">
        <v>0.069</v>
      </c>
      <c r="L71" s="1" t="n">
        <v>4</v>
      </c>
      <c r="M71" s="5" t="n">
        <v>327.67</v>
      </c>
      <c r="N71" s="5" t="n">
        <v>63.03</v>
      </c>
      <c r="O71" s="3" t="n">
        <v>0.1924</v>
      </c>
      <c r="S71" s="16" t="n">
        <v>0.3</v>
      </c>
      <c r="T71" s="17" t="n">
        <f aca="false">+S71*(M71-J71-N71)</f>
        <v>74.66475</v>
      </c>
      <c r="U71" s="16" t="n">
        <f aca="false">+T71/M71</f>
        <v>0.227865688039796</v>
      </c>
      <c r="V71" s="18" t="n">
        <f aca="false">+T71*U71</f>
        <v>17.0135346310694</v>
      </c>
    </row>
    <row r="72" customFormat="false" ht="13.8" hidden="false" customHeight="false" outlineLevel="0" collapsed="false">
      <c r="A72" s="0" t="n">
        <f aca="false">+1+A71</f>
        <v>71</v>
      </c>
      <c r="B72" s="1" t="s">
        <v>22</v>
      </c>
      <c r="C72" s="2" t="s">
        <v>23</v>
      </c>
      <c r="D72" s="0" t="s">
        <v>123</v>
      </c>
      <c r="E72" s="1" t="s">
        <v>124</v>
      </c>
      <c r="F72" s="1" t="n">
        <v>25630</v>
      </c>
      <c r="G72" s="1" t="n">
        <v>141</v>
      </c>
      <c r="H72" s="3" t="n">
        <v>0.0055</v>
      </c>
      <c r="I72" s="1" t="n">
        <v>14</v>
      </c>
      <c r="J72" s="4" t="n">
        <v>17.9221428571429</v>
      </c>
      <c r="K72" s="15" t="n">
        <v>0.0993</v>
      </c>
      <c r="L72" s="1" t="n">
        <v>14</v>
      </c>
      <c r="M72" s="5" t="n">
        <v>2461.97</v>
      </c>
      <c r="N72" s="5" t="n">
        <v>250.91</v>
      </c>
      <c r="O72" s="3" t="n">
        <v>0.1019</v>
      </c>
      <c r="S72" s="16" t="n">
        <v>0.3</v>
      </c>
      <c r="T72" s="17" t="n">
        <f aca="false">+S72*(M72-J72-N72)</f>
        <v>657.941357142857</v>
      </c>
      <c r="U72" s="16" t="n">
        <f aca="false">+T72/M72</f>
        <v>0.267241825506752</v>
      </c>
      <c r="V72" s="18" t="n">
        <f aca="false">+T72*U72</f>
        <v>175.829449359247</v>
      </c>
    </row>
    <row r="73" customFormat="false" ht="13.8" hidden="false" customHeight="false" outlineLevel="0" collapsed="false">
      <c r="A73" s="0" t="n">
        <f aca="false">+1+A72</f>
        <v>72</v>
      </c>
      <c r="B73" s="1" t="s">
        <v>22</v>
      </c>
      <c r="C73" s="2" t="s">
        <v>23</v>
      </c>
      <c r="D73" s="0" t="s">
        <v>125</v>
      </c>
      <c r="E73" s="1" t="s">
        <v>126</v>
      </c>
      <c r="F73" s="1" t="n">
        <v>25529</v>
      </c>
      <c r="G73" s="1" t="n">
        <v>45</v>
      </c>
      <c r="H73" s="3" t="n">
        <v>0.0018</v>
      </c>
      <c r="I73" s="1" t="n">
        <v>2</v>
      </c>
      <c r="J73" s="4" t="n">
        <v>5.475</v>
      </c>
      <c r="K73" s="15" t="n">
        <v>0.0444</v>
      </c>
      <c r="L73" s="1" t="n">
        <v>2</v>
      </c>
      <c r="M73" s="5" t="n">
        <v>105.34</v>
      </c>
      <c r="N73" s="5" t="n">
        <v>10.95</v>
      </c>
      <c r="O73" s="3" t="n">
        <v>0.1039</v>
      </c>
      <c r="S73" s="16" t="n">
        <v>0.3</v>
      </c>
      <c r="T73" s="17" t="n">
        <f aca="false">+S73*(M73-J73-N73)</f>
        <v>26.6745</v>
      </c>
      <c r="U73" s="16" t="n">
        <f aca="false">+T73/M73</f>
        <v>0.253222897284982</v>
      </c>
      <c r="V73" s="18" t="n">
        <f aca="false">+T73*U73</f>
        <v>6.75459417362825</v>
      </c>
    </row>
    <row r="74" customFormat="false" ht="13.8" hidden="false" customHeight="false" outlineLevel="0" collapsed="false">
      <c r="A74" s="0" t="n">
        <f aca="false">+1+A73</f>
        <v>73</v>
      </c>
      <c r="B74" s="1" t="s">
        <v>22</v>
      </c>
      <c r="C74" s="2" t="s">
        <v>23</v>
      </c>
      <c r="D74" s="0" t="s">
        <v>127</v>
      </c>
      <c r="E74" s="1" t="s">
        <v>128</v>
      </c>
      <c r="F74" s="1" t="n">
        <v>23378</v>
      </c>
      <c r="G74" s="1" t="n">
        <v>54</v>
      </c>
      <c r="H74" s="3" t="n">
        <v>0.0023</v>
      </c>
      <c r="I74" s="1" t="n">
        <v>7</v>
      </c>
      <c r="J74" s="4" t="n">
        <v>3.42</v>
      </c>
      <c r="K74" s="15" t="n">
        <v>0.1296</v>
      </c>
      <c r="L74" s="1" t="n">
        <v>7</v>
      </c>
      <c r="M74" s="5" t="n">
        <v>255.6</v>
      </c>
      <c r="N74" s="5" t="n">
        <v>23.94</v>
      </c>
      <c r="O74" s="3" t="n">
        <v>0.0937</v>
      </c>
      <c r="S74" s="16" t="n">
        <v>0.3</v>
      </c>
      <c r="T74" s="17" t="n">
        <f aca="false">+S74*(M74-J74-N74)</f>
        <v>68.472</v>
      </c>
      <c r="U74" s="16" t="n">
        <f aca="false">+T74/M74</f>
        <v>0.267887323943662</v>
      </c>
      <c r="V74" s="18" t="n">
        <f aca="false">+T74*U74</f>
        <v>18.3427808450704</v>
      </c>
    </row>
    <row r="75" customFormat="false" ht="13.8" hidden="false" customHeight="false" outlineLevel="0" collapsed="false">
      <c r="A75" s="0" t="n">
        <f aca="false">+1+A74</f>
        <v>74</v>
      </c>
      <c r="B75" s="1" t="s">
        <v>22</v>
      </c>
      <c r="C75" s="2" t="s">
        <v>23</v>
      </c>
      <c r="D75" s="0" t="s">
        <v>129</v>
      </c>
      <c r="E75" s="1" t="s">
        <v>130</v>
      </c>
      <c r="F75" s="1" t="n">
        <v>22608</v>
      </c>
      <c r="G75" s="1" t="n">
        <v>10</v>
      </c>
      <c r="H75" s="3" t="n">
        <v>0.0004</v>
      </c>
      <c r="I75" s="1" t="n">
        <v>2</v>
      </c>
      <c r="J75" s="4" t="n">
        <v>5.32</v>
      </c>
      <c r="K75" s="15" t="n">
        <v>0.2</v>
      </c>
      <c r="L75" s="1" t="n">
        <v>2</v>
      </c>
      <c r="M75" s="5" t="n">
        <v>169</v>
      </c>
      <c r="N75" s="5" t="n">
        <v>10.64</v>
      </c>
      <c r="O75" s="3" t="n">
        <v>0.063</v>
      </c>
      <c r="S75" s="16" t="n">
        <v>0.3</v>
      </c>
      <c r="T75" s="17" t="n">
        <f aca="false">+S75*(M75-J75-N75)</f>
        <v>45.912</v>
      </c>
      <c r="U75" s="16" t="n">
        <f aca="false">+T75/M75</f>
        <v>0.271668639053254</v>
      </c>
      <c r="V75" s="18" t="n">
        <f aca="false">+T75*U75</f>
        <v>12.472850556213</v>
      </c>
    </row>
    <row r="76" customFormat="false" ht="13.8" hidden="false" customHeight="false" outlineLevel="0" collapsed="false">
      <c r="A76" s="0" t="n">
        <f aca="false">+1+A75</f>
        <v>75</v>
      </c>
      <c r="B76" s="1" t="s">
        <v>22</v>
      </c>
      <c r="C76" s="2" t="s">
        <v>23</v>
      </c>
      <c r="D76" s="0" t="s">
        <v>70</v>
      </c>
      <c r="E76" s="1" t="s">
        <v>71</v>
      </c>
      <c r="F76" s="1" t="n">
        <v>22304</v>
      </c>
      <c r="G76" s="1" t="n">
        <v>19</v>
      </c>
      <c r="H76" s="3" t="n">
        <v>0.0009</v>
      </c>
      <c r="I76" s="1" t="n">
        <v>1</v>
      </c>
      <c r="J76" s="4" t="n">
        <v>6.61</v>
      </c>
      <c r="K76" s="15" t="n">
        <v>0.0526</v>
      </c>
      <c r="L76" s="1" t="n">
        <v>1</v>
      </c>
      <c r="M76" s="5" t="n">
        <v>49.66</v>
      </c>
      <c r="N76" s="5" t="n">
        <v>6.61</v>
      </c>
      <c r="O76" s="3" t="n">
        <v>0.1331</v>
      </c>
      <c r="S76" s="16" t="n">
        <v>0.3</v>
      </c>
      <c r="T76" s="17" t="n">
        <f aca="false">+S76*(M76-J76-N76)</f>
        <v>10.932</v>
      </c>
      <c r="U76" s="16" t="n">
        <f aca="false">+T76/M76</f>
        <v>0.220136931131695</v>
      </c>
      <c r="V76" s="18" t="n">
        <f aca="false">+T76*U76</f>
        <v>2.4065369311317</v>
      </c>
    </row>
    <row r="77" customFormat="false" ht="13.8" hidden="false" customHeight="false" outlineLevel="0" collapsed="false">
      <c r="A77" s="0" t="n">
        <f aca="false">+1+A76</f>
        <v>76</v>
      </c>
      <c r="B77" s="1" t="s">
        <v>22</v>
      </c>
      <c r="C77" s="2" t="s">
        <v>23</v>
      </c>
      <c r="D77" s="0" t="s">
        <v>131</v>
      </c>
      <c r="E77" s="1" t="s">
        <v>132</v>
      </c>
      <c r="F77" s="1" t="n">
        <v>21918</v>
      </c>
      <c r="G77" s="1" t="n">
        <v>9</v>
      </c>
      <c r="H77" s="3" t="n">
        <v>0.0004</v>
      </c>
      <c r="I77" s="1" t="n">
        <v>0</v>
      </c>
      <c r="K77" s="15"/>
      <c r="L77" s="1" t="n">
        <v>0</v>
      </c>
      <c r="M77" s="5" t="n">
        <v>0</v>
      </c>
      <c r="N77" s="5" t="n">
        <v>2.4</v>
      </c>
      <c r="S77" s="16" t="n">
        <v>0.3</v>
      </c>
      <c r="T77" s="17" t="n">
        <f aca="false">+S77*(M77-J77-N77)</f>
        <v>-0.72</v>
      </c>
      <c r="U77" s="16" t="e">
        <f aca="false">+T77/M77</f>
        <v>#DIV/0!</v>
      </c>
      <c r="V77" s="18" t="e">
        <f aca="false">+T77*U77</f>
        <v>#DIV/0!</v>
      </c>
    </row>
    <row r="78" customFormat="false" ht="13.8" hidden="false" customHeight="false" outlineLevel="0" collapsed="false">
      <c r="A78" s="0" t="n">
        <f aca="false">+1+A77</f>
        <v>77</v>
      </c>
      <c r="B78" s="1" t="s">
        <v>22</v>
      </c>
      <c r="C78" s="2" t="s">
        <v>23</v>
      </c>
      <c r="D78" s="0" t="s">
        <v>133</v>
      </c>
      <c r="E78" s="1" t="s">
        <v>134</v>
      </c>
      <c r="F78" s="1" t="n">
        <v>21674</v>
      </c>
      <c r="G78" s="1" t="n">
        <v>44</v>
      </c>
      <c r="H78" s="3" t="n">
        <v>0.002</v>
      </c>
      <c r="I78" s="1" t="n">
        <v>2</v>
      </c>
      <c r="J78" s="4" t="n">
        <v>5.09</v>
      </c>
      <c r="K78" s="15" t="n">
        <v>0.0455</v>
      </c>
      <c r="L78" s="1" t="n">
        <v>2</v>
      </c>
      <c r="M78" s="5" t="n">
        <v>76.96</v>
      </c>
      <c r="N78" s="5" t="n">
        <v>10.18</v>
      </c>
      <c r="O78" s="3" t="n">
        <v>0.1323</v>
      </c>
      <c r="S78" s="16" t="n">
        <v>0.3</v>
      </c>
      <c r="T78" s="17" t="n">
        <f aca="false">+S78*(M78-J78-N78)</f>
        <v>18.507</v>
      </c>
      <c r="U78" s="16" t="n">
        <f aca="false">+T78/M78</f>
        <v>0.240475571725572</v>
      </c>
      <c r="V78" s="18" t="n">
        <f aca="false">+T78*U78</f>
        <v>4.45048140592516</v>
      </c>
    </row>
    <row r="79" customFormat="false" ht="13.8" hidden="false" customHeight="false" outlineLevel="0" collapsed="false">
      <c r="A79" s="0" t="n">
        <f aca="false">+1+A78</f>
        <v>78</v>
      </c>
      <c r="B79" s="1" t="s">
        <v>22</v>
      </c>
      <c r="C79" s="2" t="s">
        <v>23</v>
      </c>
      <c r="D79" s="0" t="s">
        <v>135</v>
      </c>
      <c r="E79" s="1" t="s">
        <v>136</v>
      </c>
      <c r="F79" s="1" t="n">
        <v>21624</v>
      </c>
      <c r="G79" s="1" t="n">
        <v>16</v>
      </c>
      <c r="H79" s="3" t="n">
        <v>0.0007</v>
      </c>
      <c r="I79" s="1" t="n">
        <v>0</v>
      </c>
      <c r="K79" s="15"/>
      <c r="L79" s="1" t="n">
        <v>0</v>
      </c>
      <c r="M79" s="5" t="n">
        <v>0</v>
      </c>
      <c r="N79" s="5" t="n">
        <v>8.41</v>
      </c>
      <c r="S79" s="16" t="n">
        <v>0.3</v>
      </c>
      <c r="T79" s="17" t="n">
        <f aca="false">+S79*(M79-J79-N79)</f>
        <v>-2.523</v>
      </c>
      <c r="U79" s="16" t="e">
        <f aca="false">+T79/M79</f>
        <v>#DIV/0!</v>
      </c>
      <c r="V79" s="18" t="e">
        <f aca="false">+T79*U79</f>
        <v>#DIV/0!</v>
      </c>
    </row>
    <row r="80" customFormat="false" ht="13.8" hidden="false" customHeight="false" outlineLevel="0" collapsed="false">
      <c r="A80" s="0" t="n">
        <f aca="false">+1+A79</f>
        <v>79</v>
      </c>
      <c r="B80" s="1" t="s">
        <v>22</v>
      </c>
      <c r="C80" s="2" t="s">
        <v>23</v>
      </c>
      <c r="D80" s="0" t="s">
        <v>137</v>
      </c>
      <c r="E80" s="1" t="s">
        <v>138</v>
      </c>
      <c r="F80" s="1" t="n">
        <v>21455</v>
      </c>
      <c r="G80" s="1" t="n">
        <v>25</v>
      </c>
      <c r="H80" s="3" t="n">
        <v>0.0012</v>
      </c>
      <c r="I80" s="1" t="n">
        <v>1</v>
      </c>
      <c r="J80" s="4" t="n">
        <v>26.74</v>
      </c>
      <c r="K80" s="15" t="n">
        <v>0.04</v>
      </c>
      <c r="L80" s="1" t="n">
        <v>1</v>
      </c>
      <c r="M80" s="5" t="n">
        <v>70.34</v>
      </c>
      <c r="N80" s="5" t="n">
        <v>26.74</v>
      </c>
      <c r="O80" s="3" t="n">
        <v>0.3802</v>
      </c>
      <c r="S80" s="16" t="n">
        <v>0.3</v>
      </c>
      <c r="T80" s="17" t="n">
        <f aca="false">+S80*(M80-J80-N80)</f>
        <v>5.058</v>
      </c>
      <c r="U80" s="16" t="n">
        <f aca="false">+T80/M80</f>
        <v>0.071907876030708</v>
      </c>
      <c r="V80" s="18" t="n">
        <f aca="false">+T80*U80</f>
        <v>0.363710036963321</v>
      </c>
    </row>
    <row r="81" customFormat="false" ht="13.8" hidden="false" customHeight="false" outlineLevel="0" collapsed="false">
      <c r="A81" s="0" t="n">
        <f aca="false">+1+A80</f>
        <v>80</v>
      </c>
      <c r="B81" s="1" t="s">
        <v>22</v>
      </c>
      <c r="C81" s="2" t="s">
        <v>23</v>
      </c>
      <c r="D81" s="0" t="s">
        <v>139</v>
      </c>
      <c r="E81" s="1" t="s">
        <v>140</v>
      </c>
      <c r="F81" s="1" t="n">
        <v>21247</v>
      </c>
      <c r="G81" s="1" t="n">
        <v>45</v>
      </c>
      <c r="H81" s="3" t="n">
        <v>0.0021</v>
      </c>
      <c r="I81" s="1" t="n">
        <v>1</v>
      </c>
      <c r="J81" s="4" t="n">
        <v>27.85</v>
      </c>
      <c r="K81" s="15" t="n">
        <v>0.0222</v>
      </c>
      <c r="L81" s="1" t="n">
        <v>1</v>
      </c>
      <c r="M81" s="5" t="n">
        <v>78.92</v>
      </c>
      <c r="N81" s="5" t="n">
        <v>27.85</v>
      </c>
      <c r="O81" s="3" t="n">
        <v>0.3529</v>
      </c>
      <c r="S81" s="16" t="n">
        <v>0.3</v>
      </c>
      <c r="T81" s="17" t="n">
        <f aca="false">+S81*(M81-J81-N81)</f>
        <v>6.966</v>
      </c>
      <c r="U81" s="16" t="n">
        <f aca="false">+T81/M81</f>
        <v>0.0882665990876837</v>
      </c>
      <c r="V81" s="18" t="n">
        <f aca="false">+T81*U81</f>
        <v>0.614865129244805</v>
      </c>
    </row>
    <row r="82" customFormat="false" ht="13.8" hidden="false" customHeight="false" outlineLevel="0" collapsed="false">
      <c r="A82" s="0" t="n">
        <f aca="false">+1+A81</f>
        <v>81</v>
      </c>
      <c r="B82" s="1" t="s">
        <v>22</v>
      </c>
      <c r="C82" s="2" t="s">
        <v>23</v>
      </c>
      <c r="D82" s="0" t="s">
        <v>141</v>
      </c>
      <c r="E82" s="1" t="s">
        <v>142</v>
      </c>
      <c r="F82" s="1" t="n">
        <v>21212</v>
      </c>
      <c r="G82" s="1" t="n">
        <v>54</v>
      </c>
      <c r="H82" s="3" t="n">
        <v>0.0025</v>
      </c>
      <c r="I82" s="1" t="n">
        <v>7</v>
      </c>
      <c r="J82" s="4" t="n">
        <v>1.71428571428571</v>
      </c>
      <c r="K82" s="15" t="n">
        <v>0.1296</v>
      </c>
      <c r="L82" s="1" t="n">
        <v>7</v>
      </c>
      <c r="M82" s="5" t="n">
        <v>368.47</v>
      </c>
      <c r="N82" s="5" t="n">
        <v>12</v>
      </c>
      <c r="O82" s="3" t="n">
        <v>0.0326</v>
      </c>
      <c r="S82" s="16" t="n">
        <v>0.3</v>
      </c>
      <c r="T82" s="17" t="n">
        <f aca="false">+S82*(M82-J82-N82)</f>
        <v>106.426714285714</v>
      </c>
      <c r="U82" s="16" t="n">
        <f aca="false">+T82/M82</f>
        <v>0.288834136525943</v>
      </c>
      <c r="V82" s="18" t="n">
        <f aca="false">+T82*U82</f>
        <v>30.7396681240075</v>
      </c>
    </row>
    <row r="83" customFormat="false" ht="13.8" hidden="false" customHeight="false" outlineLevel="0" collapsed="false">
      <c r="A83" s="0" t="n">
        <f aca="false">+1+A82</f>
        <v>82</v>
      </c>
      <c r="B83" s="1" t="s">
        <v>22</v>
      </c>
      <c r="C83" s="2" t="s">
        <v>23</v>
      </c>
      <c r="D83" s="0" t="s">
        <v>143</v>
      </c>
      <c r="E83" s="1" t="s">
        <v>144</v>
      </c>
      <c r="F83" s="1" t="n">
        <v>21030</v>
      </c>
      <c r="G83" s="1" t="n">
        <v>46</v>
      </c>
      <c r="H83" s="3" t="n">
        <v>0.0022</v>
      </c>
      <c r="I83" s="1" t="n">
        <v>6</v>
      </c>
      <c r="J83" s="4" t="n">
        <v>3.065</v>
      </c>
      <c r="K83" s="15" t="n">
        <v>0.1304</v>
      </c>
      <c r="L83" s="1" t="n">
        <v>6</v>
      </c>
      <c r="M83" s="5" t="n">
        <v>227.4</v>
      </c>
      <c r="N83" s="5" t="n">
        <v>18.39</v>
      </c>
      <c r="O83" s="3" t="n">
        <v>0.0809</v>
      </c>
      <c r="S83" s="16" t="n">
        <v>0.3</v>
      </c>
      <c r="T83" s="17" t="n">
        <f aca="false">+S83*(M83-J83-N83)</f>
        <v>61.7835</v>
      </c>
      <c r="U83" s="16" t="n">
        <f aca="false">+T83/M83</f>
        <v>0.271695250659631</v>
      </c>
      <c r="V83" s="18" t="n">
        <f aca="false">+T83*U83</f>
        <v>16.7862835191293</v>
      </c>
    </row>
    <row r="84" customFormat="false" ht="13.8" hidden="false" customHeight="false" outlineLevel="0" collapsed="false">
      <c r="A84" s="0" t="n">
        <f aca="false">+1+A83</f>
        <v>83</v>
      </c>
      <c r="B84" s="1" t="s">
        <v>22</v>
      </c>
      <c r="C84" s="2" t="s">
        <v>23</v>
      </c>
      <c r="D84" s="0" t="s">
        <v>145</v>
      </c>
      <c r="E84" s="1" t="s">
        <v>146</v>
      </c>
      <c r="F84" s="1" t="n">
        <v>20900</v>
      </c>
      <c r="G84" s="1" t="n">
        <v>36</v>
      </c>
      <c r="H84" s="3" t="n">
        <v>0.0017</v>
      </c>
      <c r="I84" s="1" t="n">
        <v>0</v>
      </c>
      <c r="K84" s="15"/>
      <c r="L84" s="1" t="n">
        <v>0</v>
      </c>
      <c r="M84" s="5" t="n">
        <v>0</v>
      </c>
      <c r="N84" s="5" t="n">
        <v>9.19</v>
      </c>
      <c r="S84" s="16" t="n">
        <v>0.3</v>
      </c>
      <c r="T84" s="17" t="n">
        <f aca="false">+S84*(M84-J84-N84)</f>
        <v>-2.757</v>
      </c>
      <c r="U84" s="16" t="e">
        <f aca="false">+T84/M84</f>
        <v>#DIV/0!</v>
      </c>
      <c r="V84" s="18" t="e">
        <f aca="false">+T84*U84</f>
        <v>#DIV/0!</v>
      </c>
    </row>
    <row r="85" customFormat="false" ht="13.8" hidden="false" customHeight="false" outlineLevel="0" collapsed="false">
      <c r="A85" s="0" t="n">
        <f aca="false">+1+A84</f>
        <v>84</v>
      </c>
      <c r="B85" s="1" t="s">
        <v>22</v>
      </c>
      <c r="C85" s="2" t="s">
        <v>23</v>
      </c>
      <c r="D85" s="0" t="s">
        <v>56</v>
      </c>
      <c r="E85" s="1" t="s">
        <v>57</v>
      </c>
      <c r="F85" s="1" t="n">
        <v>19985</v>
      </c>
      <c r="G85" s="1" t="n">
        <v>11</v>
      </c>
      <c r="H85" s="3" t="n">
        <v>0.0006</v>
      </c>
      <c r="I85" s="1" t="n">
        <v>1</v>
      </c>
      <c r="J85" s="4" t="n">
        <v>8.86</v>
      </c>
      <c r="K85" s="15" t="n">
        <v>0.0909</v>
      </c>
      <c r="L85" s="1" t="n">
        <v>1</v>
      </c>
      <c r="M85" s="5" t="n">
        <v>46.72</v>
      </c>
      <c r="N85" s="5" t="n">
        <v>8.86</v>
      </c>
      <c r="O85" s="3" t="n">
        <v>0.1896</v>
      </c>
      <c r="S85" s="16" t="n">
        <v>0.3</v>
      </c>
      <c r="T85" s="17" t="n">
        <f aca="false">+S85*(M85-J85-N85)</f>
        <v>8.7</v>
      </c>
      <c r="U85" s="16" t="n">
        <f aca="false">+T85/M85</f>
        <v>0.186215753424658</v>
      </c>
      <c r="V85" s="18" t="n">
        <f aca="false">+T85*U85</f>
        <v>1.62007705479452</v>
      </c>
    </row>
    <row r="86" customFormat="false" ht="13.8" hidden="false" customHeight="false" outlineLevel="0" collapsed="false">
      <c r="A86" s="0" t="n">
        <f aca="false">+1+A85</f>
        <v>85</v>
      </c>
      <c r="B86" s="1" t="s">
        <v>22</v>
      </c>
      <c r="C86" s="2" t="s">
        <v>23</v>
      </c>
      <c r="D86" s="0" t="s">
        <v>147</v>
      </c>
      <c r="E86" s="1" t="s">
        <v>148</v>
      </c>
      <c r="F86" s="1" t="n">
        <v>19949</v>
      </c>
      <c r="G86" s="1" t="n">
        <v>31</v>
      </c>
      <c r="H86" s="3" t="n">
        <v>0.0016</v>
      </c>
      <c r="I86" s="1" t="n">
        <v>4</v>
      </c>
      <c r="J86" s="4" t="n">
        <v>1.7225</v>
      </c>
      <c r="K86" s="15" t="n">
        <v>0.129</v>
      </c>
      <c r="L86" s="1" t="n">
        <v>4</v>
      </c>
      <c r="M86" s="5" t="n">
        <v>151.41</v>
      </c>
      <c r="N86" s="5" t="n">
        <v>6.89</v>
      </c>
      <c r="O86" s="3" t="n">
        <v>0.0455</v>
      </c>
      <c r="S86" s="16" t="n">
        <v>0.3</v>
      </c>
      <c r="T86" s="17" t="n">
        <f aca="false">+S86*(M86-J86-N86)</f>
        <v>42.83925</v>
      </c>
      <c r="U86" s="16" t="n">
        <f aca="false">+T86/M86</f>
        <v>0.282935407172578</v>
      </c>
      <c r="V86" s="18" t="n">
        <f aca="false">+T86*U86</f>
        <v>12.1207406417179</v>
      </c>
    </row>
    <row r="87" customFormat="false" ht="13.8" hidden="false" customHeight="false" outlineLevel="0" collapsed="false">
      <c r="A87" s="0" t="n">
        <f aca="false">+1+A86</f>
        <v>86</v>
      </c>
      <c r="B87" s="1" t="s">
        <v>22</v>
      </c>
      <c r="C87" s="2" t="s">
        <v>23</v>
      </c>
      <c r="D87" s="0" t="s">
        <v>149</v>
      </c>
      <c r="E87" s="1" t="s">
        <v>150</v>
      </c>
      <c r="F87" s="1" t="n">
        <v>19693</v>
      </c>
      <c r="G87" s="1" t="n">
        <v>189</v>
      </c>
      <c r="H87" s="3" t="n">
        <v>0.0096</v>
      </c>
      <c r="I87" s="1" t="n">
        <v>24</v>
      </c>
      <c r="J87" s="4" t="n">
        <v>5.97416666666667</v>
      </c>
      <c r="K87" s="15" t="n">
        <v>0.127</v>
      </c>
      <c r="L87" s="1" t="n">
        <v>24</v>
      </c>
      <c r="M87" s="5" t="n">
        <v>1678.01</v>
      </c>
      <c r="N87" s="5" t="n">
        <v>143.38</v>
      </c>
      <c r="O87" s="3" t="n">
        <v>0.0854</v>
      </c>
      <c r="S87" s="16" t="n">
        <v>0.3</v>
      </c>
      <c r="T87" s="17" t="n">
        <f aca="false">+S87*(M87-J87-N87)</f>
        <v>458.59675</v>
      </c>
      <c r="U87" s="16" t="n">
        <f aca="false">+T87/M87</f>
        <v>0.273297983921431</v>
      </c>
      <c r="V87" s="18" t="n">
        <f aca="false">+T87*U87</f>
        <v>125.33356720792</v>
      </c>
    </row>
    <row r="88" customFormat="false" ht="13.8" hidden="false" customHeight="false" outlineLevel="0" collapsed="false">
      <c r="A88" s="0" t="n">
        <f aca="false">+1+A87</f>
        <v>87</v>
      </c>
      <c r="B88" s="1" t="s">
        <v>22</v>
      </c>
      <c r="C88" s="2" t="s">
        <v>23</v>
      </c>
      <c r="D88" s="0" t="s">
        <v>151</v>
      </c>
      <c r="E88" s="1" t="s">
        <v>152</v>
      </c>
      <c r="F88" s="1" t="n">
        <v>19505</v>
      </c>
      <c r="G88" s="1" t="n">
        <v>18</v>
      </c>
      <c r="H88" s="3" t="n">
        <v>0.0009</v>
      </c>
      <c r="I88" s="1" t="n">
        <v>0</v>
      </c>
      <c r="K88" s="15"/>
      <c r="L88" s="1" t="n">
        <v>0</v>
      </c>
      <c r="M88" s="5" t="n">
        <v>0</v>
      </c>
      <c r="N88" s="5" t="n">
        <v>2.65</v>
      </c>
      <c r="S88" s="16" t="n">
        <v>0.3</v>
      </c>
      <c r="T88" s="17" t="n">
        <f aca="false">+S88*(M88-J88-N88)</f>
        <v>-0.795</v>
      </c>
      <c r="U88" s="16" t="e">
        <f aca="false">+T88/M88</f>
        <v>#DIV/0!</v>
      </c>
      <c r="V88" s="18" t="e">
        <f aca="false">+T88*U88</f>
        <v>#DIV/0!</v>
      </c>
    </row>
    <row r="89" customFormat="false" ht="13.8" hidden="false" customHeight="false" outlineLevel="0" collapsed="false">
      <c r="A89" s="0" t="n">
        <f aca="false">+1+A88</f>
        <v>88</v>
      </c>
      <c r="B89" s="1" t="s">
        <v>22</v>
      </c>
      <c r="C89" s="2" t="s">
        <v>23</v>
      </c>
      <c r="D89" s="0" t="s">
        <v>153</v>
      </c>
      <c r="E89" s="1" t="s">
        <v>154</v>
      </c>
      <c r="F89" s="1" t="n">
        <v>19450</v>
      </c>
      <c r="G89" s="1" t="n">
        <v>10</v>
      </c>
      <c r="H89" s="3" t="n">
        <v>0.0005</v>
      </c>
      <c r="I89" s="1" t="n">
        <v>0</v>
      </c>
      <c r="K89" s="15"/>
      <c r="L89" s="1" t="n">
        <v>0</v>
      </c>
      <c r="M89" s="5" t="n">
        <v>0</v>
      </c>
      <c r="N89" s="5" t="n">
        <v>7.39</v>
      </c>
      <c r="S89" s="16" t="n">
        <v>0.3</v>
      </c>
      <c r="T89" s="17" t="n">
        <f aca="false">+S89*(M89-J89-N89)</f>
        <v>-2.217</v>
      </c>
      <c r="U89" s="16" t="e">
        <f aca="false">+T89/M89</f>
        <v>#DIV/0!</v>
      </c>
      <c r="V89" s="18" t="e">
        <f aca="false">+T89*U89</f>
        <v>#DIV/0!</v>
      </c>
    </row>
    <row r="90" customFormat="false" ht="13.8" hidden="false" customHeight="false" outlineLevel="0" collapsed="false">
      <c r="A90" s="0" t="n">
        <f aca="false">+1+A89</f>
        <v>89</v>
      </c>
      <c r="B90" s="1" t="s">
        <v>22</v>
      </c>
      <c r="C90" s="2" t="s">
        <v>23</v>
      </c>
      <c r="D90" s="0" t="s">
        <v>155</v>
      </c>
      <c r="E90" s="1" t="s">
        <v>156</v>
      </c>
      <c r="F90" s="1" t="n">
        <v>19226</v>
      </c>
      <c r="G90" s="1" t="n">
        <v>44</v>
      </c>
      <c r="H90" s="3" t="n">
        <v>0.0023</v>
      </c>
      <c r="I90" s="1" t="n">
        <v>1</v>
      </c>
      <c r="J90" s="4" t="n">
        <v>17.84</v>
      </c>
      <c r="K90" s="15" t="n">
        <v>0.0227</v>
      </c>
      <c r="L90" s="1" t="n">
        <v>1</v>
      </c>
      <c r="M90" s="5" t="n">
        <v>66.31</v>
      </c>
      <c r="N90" s="5" t="n">
        <v>17.84</v>
      </c>
      <c r="O90" s="3" t="n">
        <v>0.269</v>
      </c>
      <c r="S90" s="16" t="n">
        <v>0.3</v>
      </c>
      <c r="T90" s="17" t="n">
        <f aca="false">+S90*(M90-J90-N90)</f>
        <v>9.189</v>
      </c>
      <c r="U90" s="16" t="n">
        <f aca="false">+T90/M90</f>
        <v>0.138576383652541</v>
      </c>
      <c r="V90" s="18" t="n">
        <f aca="false">+T90*U90</f>
        <v>1.2733783893832</v>
      </c>
    </row>
    <row r="91" customFormat="false" ht="13.8" hidden="false" customHeight="false" outlineLevel="0" collapsed="false">
      <c r="A91" s="0" t="n">
        <f aca="false">+1+A90</f>
        <v>90</v>
      </c>
      <c r="B91" s="1" t="s">
        <v>22</v>
      </c>
      <c r="C91" s="2" t="s">
        <v>23</v>
      </c>
      <c r="D91" s="0" t="s">
        <v>157</v>
      </c>
      <c r="E91" s="1" t="s">
        <v>158</v>
      </c>
      <c r="F91" s="1" t="n">
        <v>18864</v>
      </c>
      <c r="G91" s="1" t="n">
        <v>2</v>
      </c>
      <c r="H91" s="3" t="n">
        <v>0.0001</v>
      </c>
      <c r="I91" s="1" t="n">
        <v>0</v>
      </c>
      <c r="K91" s="15"/>
      <c r="L91" s="1" t="n">
        <v>0</v>
      </c>
      <c r="M91" s="5" t="n">
        <v>0</v>
      </c>
      <c r="N91" s="5" t="n">
        <v>3.36</v>
      </c>
      <c r="S91" s="16" t="n">
        <v>0.3</v>
      </c>
      <c r="T91" s="17" t="n">
        <f aca="false">+S91*(M91-J91-N91)</f>
        <v>-1.008</v>
      </c>
      <c r="U91" s="16" t="e">
        <f aca="false">+T91/M91</f>
        <v>#DIV/0!</v>
      </c>
      <c r="V91" s="18" t="e">
        <f aca="false">+T91*U91</f>
        <v>#DIV/0!</v>
      </c>
    </row>
    <row r="92" customFormat="false" ht="13.8" hidden="false" customHeight="false" outlineLevel="0" collapsed="false">
      <c r="A92" s="0" t="n">
        <f aca="false">+1+A91</f>
        <v>91</v>
      </c>
      <c r="B92" s="1" t="s">
        <v>22</v>
      </c>
      <c r="C92" s="2" t="s">
        <v>23</v>
      </c>
      <c r="D92" s="0" t="s">
        <v>64</v>
      </c>
      <c r="E92" s="1" t="s">
        <v>65</v>
      </c>
      <c r="F92" s="1" t="n">
        <v>18054</v>
      </c>
      <c r="G92" s="1" t="n">
        <v>48</v>
      </c>
      <c r="H92" s="3" t="n">
        <v>0.0027</v>
      </c>
      <c r="I92" s="1" t="n">
        <v>3</v>
      </c>
      <c r="J92" s="4" t="n">
        <v>26.44</v>
      </c>
      <c r="K92" s="15" t="n">
        <v>0.0625</v>
      </c>
      <c r="L92" s="1" t="n">
        <v>3</v>
      </c>
      <c r="M92" s="5" t="n">
        <v>242.31</v>
      </c>
      <c r="N92" s="5" t="n">
        <v>79.32</v>
      </c>
      <c r="O92" s="3" t="n">
        <v>0.3273</v>
      </c>
      <c r="S92" s="16" t="n">
        <v>0.3</v>
      </c>
      <c r="T92" s="17" t="n">
        <f aca="false">+S92*(M92-J92-N92)</f>
        <v>40.965</v>
      </c>
      <c r="U92" s="16" t="n">
        <f aca="false">+T92/M92</f>
        <v>0.16906029466386</v>
      </c>
      <c r="V92" s="18" t="n">
        <f aca="false">+T92*U92</f>
        <v>6.92555497090504</v>
      </c>
    </row>
    <row r="93" customFormat="false" ht="13.8" hidden="false" customHeight="false" outlineLevel="0" collapsed="false">
      <c r="A93" s="0" t="n">
        <f aca="false">+1+A92</f>
        <v>92</v>
      </c>
      <c r="B93" s="1" t="s">
        <v>22</v>
      </c>
      <c r="C93" s="2" t="s">
        <v>23</v>
      </c>
      <c r="D93" s="0" t="s">
        <v>159</v>
      </c>
      <c r="E93" s="1" t="s">
        <v>160</v>
      </c>
      <c r="F93" s="1" t="n">
        <v>17117</v>
      </c>
      <c r="G93" s="1" t="n">
        <v>51</v>
      </c>
      <c r="H93" s="3" t="n">
        <v>0.003</v>
      </c>
      <c r="I93" s="1" t="n">
        <v>6</v>
      </c>
      <c r="J93" s="4" t="n">
        <v>5.44833333333333</v>
      </c>
      <c r="K93" s="15" t="n">
        <v>0.1177</v>
      </c>
      <c r="L93" s="1" t="n">
        <v>6</v>
      </c>
      <c r="M93" s="5" t="n">
        <v>323.52</v>
      </c>
      <c r="N93" s="5" t="n">
        <v>32.69</v>
      </c>
      <c r="O93" s="3" t="n">
        <v>0.101</v>
      </c>
      <c r="S93" s="16" t="n">
        <v>0.3</v>
      </c>
      <c r="T93" s="17" t="n">
        <f aca="false">+S93*(M93-J93-N93)</f>
        <v>85.6145</v>
      </c>
      <c r="U93" s="16" t="n">
        <f aca="false">+T93/M93</f>
        <v>0.264634334817013</v>
      </c>
      <c r="V93" s="18" t="n">
        <f aca="false">+T93*U93</f>
        <v>22.6565362581911</v>
      </c>
    </row>
    <row r="94" customFormat="false" ht="13.8" hidden="false" customHeight="false" outlineLevel="0" collapsed="false">
      <c r="A94" s="0" t="n">
        <f aca="false">+1+A93</f>
        <v>93</v>
      </c>
      <c r="B94" s="1" t="s">
        <v>22</v>
      </c>
      <c r="C94" s="2" t="s">
        <v>23</v>
      </c>
      <c r="D94" s="0" t="s">
        <v>161</v>
      </c>
      <c r="E94" s="1" t="s">
        <v>162</v>
      </c>
      <c r="F94" s="1" t="n">
        <v>17017</v>
      </c>
      <c r="G94" s="1" t="n">
        <v>16</v>
      </c>
      <c r="H94" s="3" t="n">
        <v>0.0009</v>
      </c>
      <c r="I94" s="1" t="n">
        <v>1</v>
      </c>
      <c r="J94" s="4" t="n">
        <v>10.37</v>
      </c>
      <c r="K94" s="15" t="n">
        <v>0.0625</v>
      </c>
      <c r="L94" s="1" t="n">
        <v>1</v>
      </c>
      <c r="M94" s="5" t="n">
        <v>48.73</v>
      </c>
      <c r="N94" s="5" t="n">
        <v>10.37</v>
      </c>
      <c r="O94" s="3" t="n">
        <v>0.2128</v>
      </c>
      <c r="S94" s="16" t="n">
        <v>0.3</v>
      </c>
      <c r="T94" s="17" t="n">
        <f aca="false">+S94*(M94-J94-N94)</f>
        <v>8.397</v>
      </c>
      <c r="U94" s="16" t="n">
        <f aca="false">+T94/M94</f>
        <v>0.172316847937615</v>
      </c>
      <c r="V94" s="18" t="n">
        <f aca="false">+T94*U94</f>
        <v>1.44694457213216</v>
      </c>
    </row>
    <row r="95" customFormat="false" ht="13.8" hidden="false" customHeight="false" outlineLevel="0" collapsed="false">
      <c r="A95" s="0" t="n">
        <f aca="false">+1+A94</f>
        <v>94</v>
      </c>
      <c r="B95" s="1" t="s">
        <v>22</v>
      </c>
      <c r="C95" s="2" t="s">
        <v>23</v>
      </c>
      <c r="D95" s="0" t="s">
        <v>163</v>
      </c>
      <c r="E95" s="1" t="s">
        <v>164</v>
      </c>
      <c r="F95" s="1" t="n">
        <v>16877</v>
      </c>
      <c r="G95" s="1" t="n">
        <v>2</v>
      </c>
      <c r="H95" s="3" t="n">
        <v>0.0001</v>
      </c>
      <c r="I95" s="1" t="n">
        <v>0</v>
      </c>
      <c r="K95" s="15"/>
      <c r="L95" s="1" t="n">
        <v>0</v>
      </c>
      <c r="M95" s="5" t="n">
        <v>0</v>
      </c>
      <c r="N95" s="5" t="n">
        <v>1.35</v>
      </c>
      <c r="S95" s="16" t="n">
        <v>0.3</v>
      </c>
      <c r="T95" s="17" t="n">
        <f aca="false">+S95*(M95-J95-N95)</f>
        <v>-0.405</v>
      </c>
      <c r="U95" s="16" t="e">
        <f aca="false">+T95/M95</f>
        <v>#DIV/0!</v>
      </c>
      <c r="V95" s="18" t="e">
        <f aca="false">+T95*U95</f>
        <v>#DIV/0!</v>
      </c>
    </row>
    <row r="96" customFormat="false" ht="13.8" hidden="false" customHeight="false" outlineLevel="0" collapsed="false">
      <c r="A96" s="0" t="n">
        <f aca="false">+1+A95</f>
        <v>95</v>
      </c>
      <c r="B96" s="1" t="s">
        <v>22</v>
      </c>
      <c r="C96" s="2" t="s">
        <v>23</v>
      </c>
      <c r="D96" s="0" t="s">
        <v>165</v>
      </c>
      <c r="E96" s="1" t="s">
        <v>166</v>
      </c>
      <c r="F96" s="1" t="n">
        <v>16848</v>
      </c>
      <c r="G96" s="1" t="n">
        <v>57</v>
      </c>
      <c r="H96" s="3" t="n">
        <v>0.0034</v>
      </c>
      <c r="I96" s="1" t="n">
        <v>5</v>
      </c>
      <c r="J96" s="4" t="n">
        <v>8.158</v>
      </c>
      <c r="K96" s="15" t="n">
        <v>0.0877</v>
      </c>
      <c r="L96" s="1" t="n">
        <v>5</v>
      </c>
      <c r="M96" s="5" t="n">
        <v>362.95</v>
      </c>
      <c r="N96" s="5" t="n">
        <v>40.79</v>
      </c>
      <c r="O96" s="3" t="n">
        <v>0.1124</v>
      </c>
      <c r="S96" s="16" t="n">
        <v>0.3</v>
      </c>
      <c r="T96" s="17" t="n">
        <f aca="false">+S96*(M96-J96-N96)</f>
        <v>94.2006</v>
      </c>
      <c r="U96" s="16" t="n">
        <f aca="false">+T96/M96</f>
        <v>0.259541534646645</v>
      </c>
      <c r="V96" s="18" t="n">
        <f aca="false">+T96*U96</f>
        <v>24.4489682886348</v>
      </c>
    </row>
    <row r="97" customFormat="false" ht="13.8" hidden="false" customHeight="false" outlineLevel="0" collapsed="false">
      <c r="A97" s="0" t="n">
        <f aca="false">+1+A96</f>
        <v>96</v>
      </c>
      <c r="B97" s="1" t="s">
        <v>22</v>
      </c>
      <c r="C97" s="2" t="s">
        <v>23</v>
      </c>
      <c r="D97" s="0" t="s">
        <v>167</v>
      </c>
      <c r="E97" s="1" t="s">
        <v>168</v>
      </c>
      <c r="F97" s="1" t="n">
        <v>16415</v>
      </c>
      <c r="G97" s="1" t="n">
        <v>39</v>
      </c>
      <c r="H97" s="3" t="n">
        <v>0.0024</v>
      </c>
      <c r="I97" s="1" t="n">
        <v>1</v>
      </c>
      <c r="J97" s="4" t="n">
        <v>18.69</v>
      </c>
      <c r="K97" s="15" t="n">
        <v>0.0256</v>
      </c>
      <c r="L97" s="1" t="n">
        <v>1</v>
      </c>
      <c r="M97" s="5" t="n">
        <v>76.9</v>
      </c>
      <c r="N97" s="5" t="n">
        <v>18.69</v>
      </c>
      <c r="O97" s="3" t="n">
        <v>0.243</v>
      </c>
      <c r="S97" s="16" t="n">
        <v>0.3</v>
      </c>
      <c r="T97" s="17" t="n">
        <f aca="false">+S97*(M97-J97-N97)</f>
        <v>11.856</v>
      </c>
      <c r="U97" s="16" t="n">
        <f aca="false">+T97/M97</f>
        <v>0.154174252275683</v>
      </c>
      <c r="V97" s="18" t="n">
        <f aca="false">+T97*U97</f>
        <v>1.8278899349805</v>
      </c>
    </row>
    <row r="98" customFormat="false" ht="13.8" hidden="false" customHeight="false" outlineLevel="0" collapsed="false">
      <c r="A98" s="0" t="n">
        <f aca="false">+1+A97</f>
        <v>97</v>
      </c>
      <c r="B98" s="1" t="s">
        <v>22</v>
      </c>
      <c r="C98" s="2" t="s">
        <v>23</v>
      </c>
      <c r="D98" s="0" t="s">
        <v>36</v>
      </c>
      <c r="E98" s="1" t="s">
        <v>37</v>
      </c>
      <c r="F98" s="1" t="n">
        <v>16031</v>
      </c>
      <c r="G98" s="1" t="n">
        <v>38</v>
      </c>
      <c r="H98" s="3" t="n">
        <v>0.0024</v>
      </c>
      <c r="I98" s="1" t="n">
        <v>3</v>
      </c>
      <c r="J98" s="4" t="n">
        <v>11.9933333333333</v>
      </c>
      <c r="K98" s="15" t="n">
        <v>0.0789</v>
      </c>
      <c r="L98" s="1" t="n">
        <v>3</v>
      </c>
      <c r="M98" s="5" t="n">
        <v>269.88</v>
      </c>
      <c r="N98" s="5" t="n">
        <v>35.98</v>
      </c>
      <c r="O98" s="3" t="n">
        <v>0.1333</v>
      </c>
      <c r="S98" s="16" t="n">
        <v>0.3</v>
      </c>
      <c r="T98" s="17" t="n">
        <f aca="false">+S98*(M98-J98-N98)</f>
        <v>66.572</v>
      </c>
      <c r="U98" s="16" t="n">
        <f aca="false">+T98/M98</f>
        <v>0.246672595227509</v>
      </c>
      <c r="V98" s="18" t="n">
        <f aca="false">+T98*U98</f>
        <v>16.4214880094857</v>
      </c>
    </row>
    <row r="99" customFormat="false" ht="13.8" hidden="false" customHeight="false" outlineLevel="0" collapsed="false">
      <c r="A99" s="0" t="n">
        <f aca="false">+1+A98</f>
        <v>98</v>
      </c>
      <c r="B99" s="1" t="s">
        <v>22</v>
      </c>
      <c r="C99" s="2" t="s">
        <v>23</v>
      </c>
      <c r="D99" s="0" t="s">
        <v>79</v>
      </c>
      <c r="E99" s="1" t="s">
        <v>80</v>
      </c>
      <c r="F99" s="1" t="n">
        <v>15672</v>
      </c>
      <c r="G99" s="1" t="n">
        <v>97</v>
      </c>
      <c r="H99" s="3" t="n">
        <v>0.0062</v>
      </c>
      <c r="I99" s="1" t="n">
        <v>6</v>
      </c>
      <c r="J99" s="4" t="n">
        <v>27.1033333333333</v>
      </c>
      <c r="K99" s="15" t="n">
        <v>0.0619</v>
      </c>
      <c r="L99" s="1" t="n">
        <v>6</v>
      </c>
      <c r="M99" s="5" t="n">
        <v>546.5</v>
      </c>
      <c r="N99" s="5" t="n">
        <v>162.62</v>
      </c>
      <c r="O99" s="3" t="n">
        <v>0.2976</v>
      </c>
      <c r="S99" s="16" t="n">
        <v>0.3</v>
      </c>
      <c r="T99" s="17" t="n">
        <f aca="false">+S99*(M99-J99-N99)</f>
        <v>107.033</v>
      </c>
      <c r="U99" s="16" t="n">
        <f aca="false">+T99/M99</f>
        <v>0.195851784080512</v>
      </c>
      <c r="V99" s="18" t="n">
        <f aca="false">+T99*U99</f>
        <v>20.9626040054895</v>
      </c>
    </row>
    <row r="100" customFormat="false" ht="13.8" hidden="false" customHeight="false" outlineLevel="0" collapsed="false">
      <c r="A100" s="0" t="n">
        <f aca="false">+1+A99</f>
        <v>99</v>
      </c>
      <c r="B100" s="1" t="s">
        <v>22</v>
      </c>
      <c r="C100" s="2" t="s">
        <v>23</v>
      </c>
      <c r="D100" s="0" t="s">
        <v>169</v>
      </c>
      <c r="E100" s="1" t="s">
        <v>170</v>
      </c>
      <c r="F100" s="1" t="n">
        <v>15621</v>
      </c>
      <c r="G100" s="1" t="n">
        <v>18</v>
      </c>
      <c r="H100" s="3" t="n">
        <v>0.0012</v>
      </c>
      <c r="I100" s="1" t="n">
        <v>1</v>
      </c>
      <c r="J100" s="4" t="n">
        <v>41.37</v>
      </c>
      <c r="K100" s="15" t="n">
        <v>0.0556</v>
      </c>
      <c r="L100" s="1" t="n">
        <v>1</v>
      </c>
      <c r="M100" s="5" t="n">
        <v>98.91</v>
      </c>
      <c r="N100" s="5" t="n">
        <v>41.37</v>
      </c>
      <c r="O100" s="3" t="n">
        <v>0.4183</v>
      </c>
      <c r="S100" s="16" t="n">
        <v>0.3</v>
      </c>
      <c r="T100" s="17" t="n">
        <f aca="false">+S100*(M100-J100-N100)</f>
        <v>4.851</v>
      </c>
      <c r="U100" s="16" t="n">
        <f aca="false">+T100/M100</f>
        <v>0.0490445859872612</v>
      </c>
      <c r="V100" s="18" t="n">
        <f aca="false">+T100*U100</f>
        <v>0.237915286624204</v>
      </c>
    </row>
    <row r="101" customFormat="false" ht="13.8" hidden="false" customHeight="false" outlineLevel="0" collapsed="false">
      <c r="A101" s="0" t="n">
        <f aca="false">+1+A100</f>
        <v>100</v>
      </c>
      <c r="B101" s="1" t="s">
        <v>22</v>
      </c>
      <c r="C101" s="2" t="s">
        <v>23</v>
      </c>
      <c r="D101" s="0" t="s">
        <v>171</v>
      </c>
      <c r="E101" s="1" t="s">
        <v>172</v>
      </c>
      <c r="F101" s="1" t="n">
        <v>15314</v>
      </c>
      <c r="G101" s="1" t="n">
        <v>9</v>
      </c>
      <c r="H101" s="3" t="n">
        <v>0.0006</v>
      </c>
      <c r="I101" s="1" t="n">
        <v>0</v>
      </c>
      <c r="K101" s="15"/>
      <c r="L101" s="1" t="n">
        <v>0</v>
      </c>
      <c r="M101" s="5" t="n">
        <v>0</v>
      </c>
      <c r="N101" s="5" t="n">
        <v>10.21</v>
      </c>
      <c r="S101" s="16" t="n">
        <v>0.3</v>
      </c>
      <c r="T101" s="17" t="n">
        <f aca="false">+S101*(M101-J101-N101)</f>
        <v>-3.063</v>
      </c>
      <c r="U101" s="16" t="e">
        <f aca="false">+T101/M101</f>
        <v>#DIV/0!</v>
      </c>
      <c r="V101" s="18" t="e">
        <f aca="false">+T101*U101</f>
        <v>#DIV/0!</v>
      </c>
    </row>
    <row r="102" customFormat="false" ht="13.8" hidden="false" customHeight="false" outlineLevel="0" collapsed="false">
      <c r="A102" s="0" t="n">
        <f aca="false">+1+A101</f>
        <v>101</v>
      </c>
      <c r="B102" s="1" t="s">
        <v>22</v>
      </c>
      <c r="C102" s="2" t="s">
        <v>23</v>
      </c>
      <c r="D102" s="0" t="s">
        <v>173</v>
      </c>
      <c r="E102" s="1" t="s">
        <v>174</v>
      </c>
      <c r="F102" s="1" t="n">
        <v>14656</v>
      </c>
      <c r="G102" s="1" t="n">
        <v>45</v>
      </c>
      <c r="H102" s="3" t="n">
        <v>0.0031</v>
      </c>
      <c r="I102" s="1" t="n">
        <v>5</v>
      </c>
      <c r="J102" s="4" t="n">
        <v>6.612</v>
      </c>
      <c r="K102" s="15" t="n">
        <v>0.1111</v>
      </c>
      <c r="L102" s="1" t="n">
        <v>5</v>
      </c>
      <c r="M102" s="5" t="n">
        <v>227.36</v>
      </c>
      <c r="N102" s="5" t="n">
        <v>33.06</v>
      </c>
      <c r="O102" s="3" t="n">
        <v>0.1454</v>
      </c>
      <c r="S102" s="16" t="n">
        <v>0.3</v>
      </c>
      <c r="T102" s="17" t="n">
        <f aca="false">+S102*(M102-J102-N102)</f>
        <v>56.3064</v>
      </c>
      <c r="U102" s="16" t="n">
        <f aca="false">+T102/M102</f>
        <v>0.24765306122449</v>
      </c>
      <c r="V102" s="18" t="n">
        <f aca="false">+T102*U102</f>
        <v>13.9444523265306</v>
      </c>
    </row>
    <row r="103" customFormat="false" ht="13.8" hidden="false" customHeight="false" outlineLevel="0" collapsed="false">
      <c r="A103" s="0" t="n">
        <f aca="false">+1+A102</f>
        <v>102</v>
      </c>
      <c r="B103" s="1" t="s">
        <v>22</v>
      </c>
      <c r="C103" s="2" t="s">
        <v>23</v>
      </c>
      <c r="D103" s="0" t="s">
        <v>175</v>
      </c>
      <c r="E103" s="1" t="s">
        <v>176</v>
      </c>
      <c r="F103" s="1" t="n">
        <v>14653</v>
      </c>
      <c r="G103" s="1" t="n">
        <v>33</v>
      </c>
      <c r="H103" s="3" t="n">
        <v>0.0023</v>
      </c>
      <c r="I103" s="1" t="n">
        <v>2</v>
      </c>
      <c r="J103" s="4" t="n">
        <v>10.365</v>
      </c>
      <c r="K103" s="15" t="n">
        <v>0.0606</v>
      </c>
      <c r="L103" s="1" t="n">
        <v>2</v>
      </c>
      <c r="M103" s="5" t="n">
        <v>128.4</v>
      </c>
      <c r="N103" s="5" t="n">
        <v>20.73</v>
      </c>
      <c r="O103" s="3" t="n">
        <v>0.1614</v>
      </c>
      <c r="S103" s="16" t="n">
        <v>0.3</v>
      </c>
      <c r="T103" s="17" t="n">
        <f aca="false">+S103*(M103-J103-N103)</f>
        <v>29.1915</v>
      </c>
      <c r="U103" s="16" t="n">
        <f aca="false">+T103/M103</f>
        <v>0.227348130841121</v>
      </c>
      <c r="V103" s="18" t="n">
        <f aca="false">+T103*U103</f>
        <v>6.6366329614486</v>
      </c>
    </row>
    <row r="104" customFormat="false" ht="13.8" hidden="false" customHeight="false" outlineLevel="0" collapsed="false">
      <c r="A104" s="0" t="n">
        <f aca="false">+1+A103</f>
        <v>103</v>
      </c>
      <c r="B104" s="1" t="s">
        <v>22</v>
      </c>
      <c r="C104" s="2" t="s">
        <v>23</v>
      </c>
      <c r="D104" s="0" t="s">
        <v>76</v>
      </c>
      <c r="E104" s="1" t="s">
        <v>77</v>
      </c>
      <c r="F104" s="1" t="n">
        <v>14521</v>
      </c>
      <c r="G104" s="1" t="n">
        <v>19</v>
      </c>
      <c r="H104" s="3" t="n">
        <v>0.0013</v>
      </c>
      <c r="I104" s="1" t="n">
        <v>1</v>
      </c>
      <c r="J104" s="4" t="n">
        <v>13.76</v>
      </c>
      <c r="K104" s="15" t="n">
        <v>0.0526</v>
      </c>
      <c r="L104" s="1" t="n">
        <v>1</v>
      </c>
      <c r="M104" s="5" t="n">
        <v>92.27</v>
      </c>
      <c r="N104" s="5" t="n">
        <v>13.76</v>
      </c>
      <c r="O104" s="3" t="n">
        <v>0.1491</v>
      </c>
      <c r="S104" s="16" t="n">
        <v>0.3</v>
      </c>
      <c r="T104" s="17" t="n">
        <f aca="false">+S104*(M104-J104-N104)</f>
        <v>19.425</v>
      </c>
      <c r="U104" s="16" t="n">
        <f aca="false">+T104/M104</f>
        <v>0.210523463747697</v>
      </c>
      <c r="V104" s="18" t="n">
        <f aca="false">+T104*U104</f>
        <v>4.08941828329901</v>
      </c>
    </row>
    <row r="105" customFormat="false" ht="13.8" hidden="false" customHeight="false" outlineLevel="0" collapsed="false">
      <c r="A105" s="0" t="n">
        <f aca="false">+1+A104</f>
        <v>104</v>
      </c>
      <c r="B105" s="1" t="s">
        <v>22</v>
      </c>
      <c r="C105" s="2" t="s">
        <v>23</v>
      </c>
      <c r="D105" s="0" t="s">
        <v>177</v>
      </c>
      <c r="E105" s="1" t="s">
        <v>178</v>
      </c>
      <c r="F105" s="1" t="n">
        <v>14313</v>
      </c>
      <c r="G105" s="1" t="n">
        <v>1</v>
      </c>
      <c r="H105" s="3" t="n">
        <v>0.0001</v>
      </c>
      <c r="I105" s="1" t="n">
        <v>0</v>
      </c>
      <c r="K105" s="15"/>
      <c r="L105" s="1" t="n">
        <v>0</v>
      </c>
      <c r="M105" s="5" t="n">
        <v>0</v>
      </c>
      <c r="N105" s="5" t="n">
        <v>0.44</v>
      </c>
      <c r="S105" s="16" t="n">
        <v>0.3</v>
      </c>
      <c r="T105" s="17" t="n">
        <f aca="false">+S105*(M105-J105-N105)</f>
        <v>-0.132</v>
      </c>
      <c r="U105" s="16" t="e">
        <f aca="false">+T105/M105</f>
        <v>#DIV/0!</v>
      </c>
      <c r="V105" s="18" t="e">
        <f aca="false">+T105*U105</f>
        <v>#DIV/0!</v>
      </c>
    </row>
    <row r="106" customFormat="false" ht="13.8" hidden="false" customHeight="false" outlineLevel="0" collapsed="false">
      <c r="A106" s="0" t="n">
        <f aca="false">+1+A105</f>
        <v>105</v>
      </c>
      <c r="B106" s="1" t="s">
        <v>22</v>
      </c>
      <c r="C106" s="2" t="s">
        <v>23</v>
      </c>
      <c r="D106" s="0" t="s">
        <v>179</v>
      </c>
      <c r="E106" s="1" t="s">
        <v>180</v>
      </c>
      <c r="F106" s="1" t="n">
        <v>14106</v>
      </c>
      <c r="G106" s="1" t="n">
        <v>41</v>
      </c>
      <c r="H106" s="3" t="n">
        <v>0.0029</v>
      </c>
      <c r="I106" s="1" t="n">
        <v>1</v>
      </c>
      <c r="J106" s="4" t="n">
        <v>25.01</v>
      </c>
      <c r="K106" s="15" t="n">
        <v>0.0244</v>
      </c>
      <c r="L106" s="1" t="n">
        <v>1</v>
      </c>
      <c r="M106" s="5" t="n">
        <v>65.03</v>
      </c>
      <c r="N106" s="5" t="n">
        <v>25.01</v>
      </c>
      <c r="O106" s="3" t="n">
        <v>0.3846</v>
      </c>
      <c r="S106" s="16" t="n">
        <v>0.3</v>
      </c>
      <c r="T106" s="17" t="n">
        <f aca="false">+S106*(M106-J106-N106)</f>
        <v>4.503</v>
      </c>
      <c r="U106" s="16" t="n">
        <f aca="false">+T106/M106</f>
        <v>0.0692449638628325</v>
      </c>
      <c r="V106" s="18" t="n">
        <f aca="false">+T106*U106</f>
        <v>0.311810072274335</v>
      </c>
    </row>
    <row r="107" customFormat="false" ht="13.8" hidden="false" customHeight="false" outlineLevel="0" collapsed="false">
      <c r="A107" s="0" t="n">
        <f aca="false">+1+A106</f>
        <v>106</v>
      </c>
      <c r="B107" s="1" t="s">
        <v>22</v>
      </c>
      <c r="C107" s="2" t="s">
        <v>23</v>
      </c>
      <c r="D107" s="0" t="s">
        <v>181</v>
      </c>
      <c r="E107" s="1" t="s">
        <v>182</v>
      </c>
      <c r="F107" s="1" t="n">
        <v>12390</v>
      </c>
      <c r="G107" s="1" t="n">
        <v>76</v>
      </c>
      <c r="H107" s="3" t="n">
        <v>0.0061</v>
      </c>
      <c r="I107" s="1" t="n">
        <v>9</v>
      </c>
      <c r="J107" s="4" t="n">
        <v>11.9866666666667</v>
      </c>
      <c r="K107" s="15" t="n">
        <v>0.1184</v>
      </c>
      <c r="L107" s="1" t="n">
        <v>9</v>
      </c>
      <c r="M107" s="5" t="n">
        <v>603.03</v>
      </c>
      <c r="N107" s="5" t="n">
        <v>107.88</v>
      </c>
      <c r="O107" s="3" t="n">
        <v>0.1789</v>
      </c>
      <c r="S107" s="16" t="n">
        <v>0.3</v>
      </c>
      <c r="T107" s="17" t="n">
        <f aca="false">+S107*(M107-J107-N107)</f>
        <v>144.949</v>
      </c>
      <c r="U107" s="16" t="n">
        <f aca="false">+T107/M107</f>
        <v>0.240367809230055</v>
      </c>
      <c r="V107" s="18" t="n">
        <f aca="false">+T107*U107</f>
        <v>34.8410735800872</v>
      </c>
    </row>
    <row r="108" customFormat="false" ht="13.8" hidden="false" customHeight="false" outlineLevel="0" collapsed="false">
      <c r="A108" s="0" t="n">
        <f aca="false">+1+A107</f>
        <v>107</v>
      </c>
      <c r="B108" s="1" t="s">
        <v>22</v>
      </c>
      <c r="C108" s="2" t="s">
        <v>23</v>
      </c>
      <c r="D108" s="0" t="s">
        <v>183</v>
      </c>
      <c r="E108" s="1" t="s">
        <v>184</v>
      </c>
      <c r="F108" s="1" t="n">
        <v>12181</v>
      </c>
      <c r="G108" s="1" t="n">
        <v>7</v>
      </c>
      <c r="H108" s="3" t="n">
        <v>0.0006</v>
      </c>
      <c r="I108" s="1" t="n">
        <v>2</v>
      </c>
      <c r="J108" s="4" t="n">
        <v>0.665</v>
      </c>
      <c r="K108" s="15" t="n">
        <v>0.2857</v>
      </c>
      <c r="L108" s="1" t="n">
        <v>2</v>
      </c>
      <c r="M108" s="5" t="n">
        <v>150</v>
      </c>
      <c r="N108" s="5" t="n">
        <v>1.33</v>
      </c>
      <c r="O108" s="3" t="n">
        <v>0.0089</v>
      </c>
      <c r="S108" s="16" t="n">
        <v>0.3</v>
      </c>
      <c r="T108" s="17" t="n">
        <f aca="false">+S108*(M108-J108-N108)</f>
        <v>44.4015</v>
      </c>
      <c r="U108" s="16" t="n">
        <f aca="false">+T108/M108</f>
        <v>0.29601</v>
      </c>
      <c r="V108" s="18" t="n">
        <f aca="false">+T108*U108</f>
        <v>13.143288015</v>
      </c>
    </row>
    <row r="109" customFormat="false" ht="13.8" hidden="false" customHeight="false" outlineLevel="0" collapsed="false">
      <c r="A109" s="0" t="n">
        <f aca="false">+1+A108</f>
        <v>108</v>
      </c>
      <c r="B109" s="1" t="s">
        <v>22</v>
      </c>
      <c r="C109" s="2" t="s">
        <v>23</v>
      </c>
      <c r="D109" s="0" t="s">
        <v>185</v>
      </c>
      <c r="E109" s="1" t="s">
        <v>186</v>
      </c>
      <c r="F109" s="1" t="n">
        <v>12083</v>
      </c>
      <c r="G109" s="1" t="n">
        <v>17</v>
      </c>
      <c r="H109" s="3" t="n">
        <v>0.0014</v>
      </c>
      <c r="I109" s="1" t="n">
        <v>0</v>
      </c>
      <c r="K109" s="15"/>
      <c r="L109" s="1" t="n">
        <v>0</v>
      </c>
      <c r="M109" s="5" t="n">
        <v>0</v>
      </c>
      <c r="N109" s="5" t="n">
        <v>3.67</v>
      </c>
      <c r="S109" s="16" t="n">
        <v>0.3</v>
      </c>
      <c r="T109" s="17" t="n">
        <f aca="false">+S109*(M109-J109-N109)</f>
        <v>-1.101</v>
      </c>
      <c r="U109" s="16" t="e">
        <f aca="false">+T109/M109</f>
        <v>#DIV/0!</v>
      </c>
      <c r="V109" s="18" t="e">
        <f aca="false">+T109*U109</f>
        <v>#DIV/0!</v>
      </c>
    </row>
    <row r="110" customFormat="false" ht="13.8" hidden="false" customHeight="false" outlineLevel="0" collapsed="false">
      <c r="A110" s="0" t="n">
        <f aca="false">+1+A109</f>
        <v>109</v>
      </c>
      <c r="B110" s="1" t="s">
        <v>22</v>
      </c>
      <c r="C110" s="2" t="s">
        <v>23</v>
      </c>
      <c r="D110" s="0" t="s">
        <v>187</v>
      </c>
      <c r="E110" s="1" t="s">
        <v>188</v>
      </c>
      <c r="F110" s="1" t="n">
        <v>11951</v>
      </c>
      <c r="G110" s="1" t="n">
        <v>95</v>
      </c>
      <c r="H110" s="3" t="n">
        <v>0.0079</v>
      </c>
      <c r="I110" s="1" t="n">
        <v>6</v>
      </c>
      <c r="J110" s="4" t="n">
        <v>8.84</v>
      </c>
      <c r="K110" s="15" t="n">
        <v>0.0632</v>
      </c>
      <c r="L110" s="1" t="n">
        <v>6</v>
      </c>
      <c r="M110" s="5" t="n">
        <v>274.38</v>
      </c>
      <c r="N110" s="5" t="n">
        <v>53.04</v>
      </c>
      <c r="O110" s="3" t="n">
        <v>0.1933</v>
      </c>
      <c r="S110" s="16" t="n">
        <v>0.3</v>
      </c>
      <c r="T110" s="17" t="n">
        <f aca="false">+S110*(M110-J110-N110)</f>
        <v>63.75</v>
      </c>
      <c r="U110" s="16" t="n">
        <f aca="false">+T110/M110</f>
        <v>0.232342007434944</v>
      </c>
      <c r="V110" s="18" t="n">
        <f aca="false">+T110*U110</f>
        <v>14.8118029739777</v>
      </c>
    </row>
    <row r="111" customFormat="false" ht="13.8" hidden="false" customHeight="false" outlineLevel="0" collapsed="false">
      <c r="A111" s="0" t="n">
        <f aca="false">+1+A110</f>
        <v>110</v>
      </c>
      <c r="B111" s="1" t="s">
        <v>22</v>
      </c>
      <c r="C111" s="2" t="s">
        <v>23</v>
      </c>
      <c r="D111" s="0" t="s">
        <v>189</v>
      </c>
      <c r="E111" s="1" t="s">
        <v>190</v>
      </c>
      <c r="F111" s="1" t="n">
        <v>11536</v>
      </c>
      <c r="G111" s="1" t="n">
        <v>1</v>
      </c>
      <c r="H111" s="3" t="n">
        <v>0.0001</v>
      </c>
      <c r="I111" s="1" t="n">
        <v>0</v>
      </c>
      <c r="K111" s="15"/>
      <c r="L111" s="1" t="n">
        <v>0</v>
      </c>
      <c r="M111" s="5" t="n">
        <v>0</v>
      </c>
      <c r="N111" s="5" t="n">
        <v>0.32</v>
      </c>
      <c r="S111" s="16" t="n">
        <v>0.3</v>
      </c>
      <c r="T111" s="17" t="n">
        <f aca="false">+S111*(M111-J111-N111)</f>
        <v>-0.096</v>
      </c>
      <c r="U111" s="16" t="e">
        <f aca="false">+T111/M111</f>
        <v>#DIV/0!</v>
      </c>
      <c r="V111" s="18" t="e">
        <f aca="false">+T111*U111</f>
        <v>#DIV/0!</v>
      </c>
    </row>
    <row r="112" customFormat="false" ht="13.8" hidden="false" customHeight="false" outlineLevel="0" collapsed="false">
      <c r="A112" s="0" t="n">
        <f aca="false">+1+A111</f>
        <v>111</v>
      </c>
      <c r="B112" s="1" t="s">
        <v>22</v>
      </c>
      <c r="C112" s="2" t="s">
        <v>23</v>
      </c>
      <c r="D112" s="0" t="s">
        <v>38</v>
      </c>
      <c r="E112" s="1" t="s">
        <v>39</v>
      </c>
      <c r="F112" s="1" t="n">
        <v>11123</v>
      </c>
      <c r="G112" s="1" t="n">
        <v>26</v>
      </c>
      <c r="H112" s="3" t="n">
        <v>0.0023</v>
      </c>
      <c r="I112" s="1" t="n">
        <v>0</v>
      </c>
      <c r="K112" s="15"/>
      <c r="L112" s="1" t="n">
        <v>0</v>
      </c>
      <c r="M112" s="5" t="n">
        <v>0</v>
      </c>
      <c r="N112" s="5" t="n">
        <v>13.09</v>
      </c>
      <c r="S112" s="16" t="n">
        <v>0.3</v>
      </c>
      <c r="T112" s="17" t="n">
        <f aca="false">+S112*(M112-J112-N112)</f>
        <v>-3.927</v>
      </c>
      <c r="U112" s="16" t="e">
        <f aca="false">+T112/M112</f>
        <v>#DIV/0!</v>
      </c>
      <c r="V112" s="18" t="e">
        <f aca="false">+T112*U112</f>
        <v>#DIV/0!</v>
      </c>
    </row>
    <row r="113" customFormat="false" ht="13.8" hidden="false" customHeight="false" outlineLevel="0" collapsed="false">
      <c r="A113" s="0" t="n">
        <f aca="false">+1+A112</f>
        <v>112</v>
      </c>
      <c r="B113" s="1" t="s">
        <v>22</v>
      </c>
      <c r="C113" s="2" t="s">
        <v>23</v>
      </c>
      <c r="D113" s="0" t="s">
        <v>52</v>
      </c>
      <c r="E113" s="1" t="s">
        <v>53</v>
      </c>
      <c r="F113" s="1" t="n">
        <v>11061</v>
      </c>
      <c r="G113" s="1" t="n">
        <v>328</v>
      </c>
      <c r="H113" s="3" t="n">
        <v>0.0297</v>
      </c>
      <c r="I113" s="1" t="n">
        <v>10</v>
      </c>
      <c r="J113" s="4" t="n">
        <v>26.658</v>
      </c>
      <c r="K113" s="15" t="n">
        <v>0.0305</v>
      </c>
      <c r="L113" s="1" t="n">
        <v>10</v>
      </c>
      <c r="M113" s="5" t="n">
        <v>680.11</v>
      </c>
      <c r="N113" s="5" t="n">
        <v>266.58</v>
      </c>
      <c r="O113" s="3" t="n">
        <v>0.392</v>
      </c>
      <c r="S113" s="16" t="n">
        <v>0.3</v>
      </c>
      <c r="T113" s="17" t="n">
        <f aca="false">+S113*(M113-J113-N113)</f>
        <v>116.0616</v>
      </c>
      <c r="U113" s="16" t="n">
        <f aca="false">+T113/M113</f>
        <v>0.170651218185294</v>
      </c>
      <c r="V113" s="18" t="n">
        <f aca="false">+T113*U113</f>
        <v>19.8060534245343</v>
      </c>
    </row>
    <row r="114" customFormat="false" ht="13.8" hidden="false" customHeight="false" outlineLevel="0" collapsed="false">
      <c r="A114" s="0" t="n">
        <f aca="false">+1+A113</f>
        <v>113</v>
      </c>
      <c r="B114" s="1" t="s">
        <v>22</v>
      </c>
      <c r="C114" s="2" t="s">
        <v>23</v>
      </c>
      <c r="D114" s="0" t="s">
        <v>191</v>
      </c>
      <c r="E114" s="1" t="s">
        <v>192</v>
      </c>
      <c r="F114" s="1" t="n">
        <v>9614</v>
      </c>
      <c r="G114" s="1" t="n">
        <v>85</v>
      </c>
      <c r="H114" s="3" t="n">
        <v>0.0088</v>
      </c>
      <c r="I114" s="1" t="n">
        <v>3</v>
      </c>
      <c r="J114" s="4" t="n">
        <v>7.08</v>
      </c>
      <c r="K114" s="15" t="n">
        <v>0.0353</v>
      </c>
      <c r="L114" s="1" t="n">
        <v>3</v>
      </c>
      <c r="M114" s="5" t="n">
        <v>181.11</v>
      </c>
      <c r="N114" s="5" t="n">
        <v>21.24</v>
      </c>
      <c r="O114" s="3" t="n">
        <v>0.1173</v>
      </c>
      <c r="S114" s="16" t="n">
        <v>0.3</v>
      </c>
      <c r="T114" s="17" t="n">
        <f aca="false">+S114*(M114-J114-N114)</f>
        <v>45.837</v>
      </c>
      <c r="U114" s="16" t="n">
        <f aca="false">+T114/M114</f>
        <v>0.253089282756336</v>
      </c>
      <c r="V114" s="18" t="n">
        <f aca="false">+T114*U114</f>
        <v>11.6008534537022</v>
      </c>
    </row>
    <row r="115" customFormat="false" ht="13.8" hidden="false" customHeight="false" outlineLevel="0" collapsed="false">
      <c r="A115" s="0" t="n">
        <f aca="false">+1+A114</f>
        <v>114</v>
      </c>
      <c r="B115" s="1" t="s">
        <v>22</v>
      </c>
      <c r="C115" s="2" t="s">
        <v>23</v>
      </c>
      <c r="D115" s="0" t="s">
        <v>193</v>
      </c>
      <c r="E115" s="1" t="s">
        <v>194</v>
      </c>
      <c r="F115" s="1" t="n">
        <v>9509</v>
      </c>
      <c r="G115" s="1" t="n">
        <v>32</v>
      </c>
      <c r="H115" s="3" t="n">
        <v>0.0034</v>
      </c>
      <c r="I115" s="1" t="n">
        <v>1</v>
      </c>
      <c r="J115" s="4" t="n">
        <v>60.52</v>
      </c>
      <c r="K115" s="15" t="n">
        <v>0.0312</v>
      </c>
      <c r="L115" s="1" t="n">
        <v>1</v>
      </c>
      <c r="M115" s="5" t="n">
        <v>312.5</v>
      </c>
      <c r="N115" s="5" t="n">
        <v>60.52</v>
      </c>
      <c r="O115" s="3" t="n">
        <v>0.1937</v>
      </c>
      <c r="S115" s="16" t="n">
        <v>0.3</v>
      </c>
      <c r="T115" s="17" t="n">
        <f aca="false">+S115*(M115-J115-N115)</f>
        <v>57.438</v>
      </c>
      <c r="U115" s="16" t="n">
        <f aca="false">+T115/M115</f>
        <v>0.1838016</v>
      </c>
      <c r="V115" s="18" t="n">
        <f aca="false">+T115*U115</f>
        <v>10.5571963008</v>
      </c>
    </row>
    <row r="116" customFormat="false" ht="13.8" hidden="false" customHeight="false" outlineLevel="0" collapsed="false">
      <c r="A116" s="0" t="n">
        <f aca="false">+1+A115</f>
        <v>115</v>
      </c>
      <c r="B116" s="1" t="s">
        <v>22</v>
      </c>
      <c r="C116" s="2" t="s">
        <v>23</v>
      </c>
      <c r="D116" s="0" t="s">
        <v>159</v>
      </c>
      <c r="E116" s="1" t="s">
        <v>160</v>
      </c>
      <c r="F116" s="1" t="n">
        <v>9228</v>
      </c>
      <c r="G116" s="1" t="n">
        <v>31</v>
      </c>
      <c r="H116" s="3" t="n">
        <v>0.0034</v>
      </c>
      <c r="I116" s="1" t="n">
        <v>6</v>
      </c>
      <c r="J116" s="4" t="n">
        <v>3.555</v>
      </c>
      <c r="K116" s="15" t="n">
        <v>0.1936</v>
      </c>
      <c r="L116" s="1" t="n">
        <v>6</v>
      </c>
      <c r="M116" s="5" t="n">
        <v>383.88</v>
      </c>
      <c r="N116" s="5" t="n">
        <v>21.33</v>
      </c>
      <c r="O116" s="3" t="n">
        <v>0.0556</v>
      </c>
      <c r="S116" s="16" t="n">
        <v>0.3</v>
      </c>
      <c r="T116" s="17" t="n">
        <f aca="false">+S116*(M116-J116-N116)</f>
        <v>107.6985</v>
      </c>
      <c r="U116" s="16" t="n">
        <f aca="false">+T116/M116</f>
        <v>0.280552516411379</v>
      </c>
      <c r="V116" s="18" t="n">
        <f aca="false">+T116*U116</f>
        <v>30.2150851887309</v>
      </c>
    </row>
    <row r="117" customFormat="false" ht="13.8" hidden="false" customHeight="false" outlineLevel="0" collapsed="false">
      <c r="A117" s="0" t="n">
        <f aca="false">+1+A116</f>
        <v>116</v>
      </c>
      <c r="B117" s="1" t="s">
        <v>22</v>
      </c>
      <c r="C117" s="2" t="s">
        <v>23</v>
      </c>
      <c r="D117" s="0" t="s">
        <v>195</v>
      </c>
      <c r="E117" s="1" t="s">
        <v>196</v>
      </c>
      <c r="F117" s="1" t="n">
        <v>9222</v>
      </c>
      <c r="G117" s="1" t="n">
        <v>22</v>
      </c>
      <c r="H117" s="3" t="n">
        <v>0.0024</v>
      </c>
      <c r="I117" s="1" t="n">
        <v>0</v>
      </c>
      <c r="K117" s="15"/>
      <c r="L117" s="1" t="n">
        <v>0</v>
      </c>
      <c r="M117" s="5" t="n">
        <v>0</v>
      </c>
      <c r="N117" s="5" t="n">
        <v>8.46</v>
      </c>
      <c r="S117" s="16" t="n">
        <v>0.3</v>
      </c>
      <c r="T117" s="17" t="n">
        <f aca="false">+S117*(M117-J117-N117)</f>
        <v>-2.538</v>
      </c>
      <c r="U117" s="16" t="e">
        <f aca="false">+T117/M117</f>
        <v>#DIV/0!</v>
      </c>
      <c r="V117" s="18" t="e">
        <f aca="false">+T117*U117</f>
        <v>#DIV/0!</v>
      </c>
    </row>
    <row r="118" customFormat="false" ht="13.8" hidden="false" customHeight="false" outlineLevel="0" collapsed="false">
      <c r="A118" s="0" t="n">
        <f aca="false">+1+A117</f>
        <v>117</v>
      </c>
      <c r="B118" s="1" t="s">
        <v>22</v>
      </c>
      <c r="C118" s="2" t="s">
        <v>23</v>
      </c>
      <c r="D118" s="0" t="s">
        <v>197</v>
      </c>
      <c r="E118" s="1" t="s">
        <v>198</v>
      </c>
      <c r="F118" s="1" t="n">
        <v>9147</v>
      </c>
      <c r="G118" s="1" t="n">
        <v>5</v>
      </c>
      <c r="H118" s="3" t="n">
        <v>0.0005</v>
      </c>
      <c r="I118" s="1" t="n">
        <v>0</v>
      </c>
      <c r="K118" s="15"/>
      <c r="L118" s="1" t="n">
        <v>0</v>
      </c>
      <c r="M118" s="5" t="n">
        <v>0</v>
      </c>
      <c r="N118" s="5" t="n">
        <v>5.29</v>
      </c>
      <c r="S118" s="16" t="n">
        <v>0.3</v>
      </c>
      <c r="T118" s="17" t="n">
        <f aca="false">+S118*(M118-J118-N118)</f>
        <v>-1.587</v>
      </c>
      <c r="U118" s="16" t="e">
        <f aca="false">+T118/M118</f>
        <v>#DIV/0!</v>
      </c>
      <c r="V118" s="18" t="e">
        <f aca="false">+T118*U118</f>
        <v>#DIV/0!</v>
      </c>
    </row>
    <row r="119" customFormat="false" ht="13.8" hidden="false" customHeight="false" outlineLevel="0" collapsed="false">
      <c r="A119" s="0" t="n">
        <f aca="false">+1+A118</f>
        <v>118</v>
      </c>
      <c r="B119" s="1" t="s">
        <v>22</v>
      </c>
      <c r="C119" s="2" t="s">
        <v>23</v>
      </c>
      <c r="D119" s="0" t="s">
        <v>199</v>
      </c>
      <c r="E119" s="1" t="s">
        <v>200</v>
      </c>
      <c r="F119" s="1" t="n">
        <v>8743</v>
      </c>
      <c r="G119" s="1" t="n">
        <v>5</v>
      </c>
      <c r="H119" s="3" t="n">
        <v>0.0006</v>
      </c>
      <c r="I119" s="1" t="n">
        <v>0</v>
      </c>
      <c r="K119" s="15"/>
      <c r="L119" s="1" t="n">
        <v>0</v>
      </c>
      <c r="M119" s="5" t="n">
        <v>0</v>
      </c>
      <c r="N119" s="5" t="n">
        <v>5.19</v>
      </c>
      <c r="S119" s="16" t="n">
        <v>0.3</v>
      </c>
      <c r="T119" s="17" t="n">
        <f aca="false">+S119*(M119-J119-N119)</f>
        <v>-1.557</v>
      </c>
      <c r="U119" s="16" t="e">
        <f aca="false">+T119/M119</f>
        <v>#DIV/0!</v>
      </c>
      <c r="V119" s="18" t="e">
        <f aca="false">+T119*U119</f>
        <v>#DIV/0!</v>
      </c>
    </row>
    <row r="120" customFormat="false" ht="13.8" hidden="false" customHeight="false" outlineLevel="0" collapsed="false">
      <c r="A120" s="0" t="n">
        <f aca="false">+1+A119</f>
        <v>119</v>
      </c>
      <c r="B120" s="1" t="s">
        <v>22</v>
      </c>
      <c r="C120" s="2" t="s">
        <v>23</v>
      </c>
      <c r="D120" s="0" t="s">
        <v>201</v>
      </c>
      <c r="E120" s="1" t="s">
        <v>202</v>
      </c>
      <c r="F120" s="1" t="n">
        <v>8562</v>
      </c>
      <c r="G120" s="1" t="n">
        <v>6</v>
      </c>
      <c r="H120" s="3" t="n">
        <v>0.0007</v>
      </c>
      <c r="I120" s="1" t="n">
        <v>0</v>
      </c>
      <c r="K120" s="15"/>
      <c r="L120" s="1" t="n">
        <v>0</v>
      </c>
      <c r="M120" s="5" t="n">
        <v>0</v>
      </c>
      <c r="N120" s="5" t="n">
        <v>12.19</v>
      </c>
      <c r="S120" s="16" t="n">
        <v>0.3</v>
      </c>
      <c r="T120" s="17" t="n">
        <f aca="false">+S120*(M120-J120-N120)</f>
        <v>-3.657</v>
      </c>
      <c r="U120" s="16" t="e">
        <f aca="false">+T120/M120</f>
        <v>#DIV/0!</v>
      </c>
      <c r="V120" s="18" t="e">
        <f aca="false">+T120*U120</f>
        <v>#DIV/0!</v>
      </c>
    </row>
    <row r="121" customFormat="false" ht="13.8" hidden="false" customHeight="false" outlineLevel="0" collapsed="false">
      <c r="A121" s="0" t="n">
        <f aca="false">+1+A120</f>
        <v>120</v>
      </c>
      <c r="B121" s="1" t="s">
        <v>22</v>
      </c>
      <c r="C121" s="2" t="s">
        <v>23</v>
      </c>
      <c r="D121" s="0" t="s">
        <v>203</v>
      </c>
      <c r="E121" s="1" t="s">
        <v>204</v>
      </c>
      <c r="F121" s="1" t="n">
        <v>8423</v>
      </c>
      <c r="G121" s="1" t="n">
        <v>22</v>
      </c>
      <c r="H121" s="3" t="n">
        <v>0.0026</v>
      </c>
      <c r="I121" s="1" t="n">
        <v>0</v>
      </c>
      <c r="K121" s="15"/>
      <c r="L121" s="1" t="n">
        <v>0</v>
      </c>
      <c r="M121" s="5" t="n">
        <v>0</v>
      </c>
      <c r="N121" s="5" t="n">
        <v>4.09</v>
      </c>
      <c r="S121" s="16" t="n">
        <v>0.3</v>
      </c>
      <c r="T121" s="17" t="n">
        <f aca="false">+S121*(M121-J121-N121)</f>
        <v>-1.227</v>
      </c>
      <c r="U121" s="16" t="e">
        <f aca="false">+T121/M121</f>
        <v>#DIV/0!</v>
      </c>
      <c r="V121" s="18" t="e">
        <f aca="false">+T121*U121</f>
        <v>#DIV/0!</v>
      </c>
    </row>
    <row r="122" customFormat="false" ht="13.8" hidden="false" customHeight="false" outlineLevel="0" collapsed="false">
      <c r="A122" s="0" t="n">
        <f aca="false">+1+A121</f>
        <v>121</v>
      </c>
      <c r="B122" s="1" t="s">
        <v>22</v>
      </c>
      <c r="C122" s="2" t="s">
        <v>23</v>
      </c>
      <c r="D122" s="0" t="s">
        <v>205</v>
      </c>
      <c r="E122" s="1" t="s">
        <v>206</v>
      </c>
      <c r="F122" s="1" t="n">
        <v>8346</v>
      </c>
      <c r="G122" s="1" t="n">
        <v>12</v>
      </c>
      <c r="H122" s="3" t="n">
        <v>0.0014</v>
      </c>
      <c r="I122" s="1" t="n">
        <v>3</v>
      </c>
      <c r="J122" s="4" t="n">
        <v>2.72</v>
      </c>
      <c r="K122" s="15" t="n">
        <v>0.25</v>
      </c>
      <c r="L122" s="1" t="n">
        <v>3</v>
      </c>
      <c r="M122" s="5" t="n">
        <v>127.53</v>
      </c>
      <c r="N122" s="5" t="n">
        <v>8.16</v>
      </c>
      <c r="O122" s="3" t="n">
        <v>0.064</v>
      </c>
      <c r="S122" s="16" t="n">
        <v>0.3</v>
      </c>
      <c r="T122" s="17" t="n">
        <f aca="false">+S122*(M122-J122-N122)</f>
        <v>34.995</v>
      </c>
      <c r="U122" s="16" t="n">
        <f aca="false">+T122/M122</f>
        <v>0.274406022112444</v>
      </c>
      <c r="V122" s="18" t="n">
        <f aca="false">+T122*U122</f>
        <v>9.60283874382498</v>
      </c>
    </row>
    <row r="123" customFormat="false" ht="13.8" hidden="false" customHeight="false" outlineLevel="0" collapsed="false">
      <c r="A123" s="0" t="n">
        <f aca="false">+1+A122</f>
        <v>122</v>
      </c>
      <c r="B123" s="1" t="s">
        <v>22</v>
      </c>
      <c r="C123" s="2" t="s">
        <v>23</v>
      </c>
      <c r="D123" s="0" t="s">
        <v>30</v>
      </c>
      <c r="E123" s="1" t="s">
        <v>31</v>
      </c>
      <c r="F123" s="1" t="n">
        <v>8136</v>
      </c>
      <c r="G123" s="1" t="n">
        <v>52</v>
      </c>
      <c r="H123" s="3" t="n">
        <v>0.0064</v>
      </c>
      <c r="I123" s="1" t="n">
        <v>6</v>
      </c>
      <c r="J123" s="4" t="n">
        <v>4.33333333333333</v>
      </c>
      <c r="K123" s="15" t="n">
        <v>0.1154</v>
      </c>
      <c r="L123" s="1" t="n">
        <v>6</v>
      </c>
      <c r="M123" s="5" t="n">
        <v>378.26</v>
      </c>
      <c r="N123" s="5" t="n">
        <v>26</v>
      </c>
      <c r="O123" s="3" t="n">
        <v>0.0687</v>
      </c>
      <c r="S123" s="16" t="n">
        <v>0.3</v>
      </c>
      <c r="T123" s="17" t="n">
        <f aca="false">+S123*(M123-J123-N123)</f>
        <v>104.378</v>
      </c>
      <c r="U123" s="16" t="n">
        <f aca="false">+T123/M123</f>
        <v>0.275942473430973</v>
      </c>
      <c r="V123" s="18" t="n">
        <f aca="false">+T123*U123</f>
        <v>28.8023234917781</v>
      </c>
    </row>
    <row r="124" customFormat="false" ht="13.8" hidden="false" customHeight="false" outlineLevel="0" collapsed="false">
      <c r="A124" s="0" t="n">
        <f aca="false">+1+A123</f>
        <v>123</v>
      </c>
      <c r="B124" s="1" t="s">
        <v>22</v>
      </c>
      <c r="C124" s="2" t="s">
        <v>23</v>
      </c>
      <c r="D124" s="0" t="s">
        <v>207</v>
      </c>
      <c r="E124" s="1" t="s">
        <v>208</v>
      </c>
      <c r="F124" s="1" t="n">
        <v>7838</v>
      </c>
      <c r="G124" s="1" t="n">
        <v>17</v>
      </c>
      <c r="H124" s="3" t="n">
        <v>0.0022</v>
      </c>
      <c r="I124" s="1" t="n">
        <v>0</v>
      </c>
      <c r="K124" s="15"/>
      <c r="L124" s="1" t="n">
        <v>0</v>
      </c>
      <c r="M124" s="5" t="n">
        <v>0</v>
      </c>
      <c r="N124" s="5" t="n">
        <v>1.64</v>
      </c>
      <c r="S124" s="16" t="n">
        <v>0.3</v>
      </c>
      <c r="T124" s="17" t="n">
        <f aca="false">+S124*(M124-J124-N124)</f>
        <v>-0.492</v>
      </c>
      <c r="U124" s="16" t="e">
        <f aca="false">+T124/M124</f>
        <v>#DIV/0!</v>
      </c>
      <c r="V124" s="18" t="e">
        <f aca="false">+T124*U124</f>
        <v>#DIV/0!</v>
      </c>
    </row>
    <row r="125" customFormat="false" ht="13.8" hidden="false" customHeight="false" outlineLevel="0" collapsed="false">
      <c r="A125" s="0" t="n">
        <f aca="false">+1+A124</f>
        <v>124</v>
      </c>
      <c r="B125" s="1" t="s">
        <v>22</v>
      </c>
      <c r="C125" s="2" t="s">
        <v>23</v>
      </c>
      <c r="D125" s="0" t="s">
        <v>209</v>
      </c>
      <c r="E125" s="1" t="s">
        <v>210</v>
      </c>
      <c r="F125" s="1" t="n">
        <v>7734</v>
      </c>
      <c r="G125" s="1" t="n">
        <v>7</v>
      </c>
      <c r="H125" s="3" t="n">
        <v>0.0009</v>
      </c>
      <c r="I125" s="1" t="n">
        <v>1</v>
      </c>
      <c r="J125" s="4" t="n">
        <v>3.23</v>
      </c>
      <c r="K125" s="15" t="n">
        <v>0.1429</v>
      </c>
      <c r="L125" s="1" t="n">
        <v>1</v>
      </c>
      <c r="M125" s="5" t="n">
        <v>34.92</v>
      </c>
      <c r="N125" s="5" t="n">
        <v>3.23</v>
      </c>
      <c r="O125" s="3" t="n">
        <v>0.0925</v>
      </c>
      <c r="S125" s="16" t="n">
        <v>0.3</v>
      </c>
      <c r="T125" s="17" t="n">
        <f aca="false">+S125*(M125-J125-N125)</f>
        <v>8.538</v>
      </c>
      <c r="U125" s="16" t="n">
        <f aca="false">+T125/M125</f>
        <v>0.244501718213058</v>
      </c>
      <c r="V125" s="18" t="n">
        <f aca="false">+T125*U125</f>
        <v>2.08755567010309</v>
      </c>
    </row>
    <row r="126" customFormat="false" ht="13.8" hidden="false" customHeight="false" outlineLevel="0" collapsed="false">
      <c r="A126" s="0" t="n">
        <f aca="false">+1+A125</f>
        <v>125</v>
      </c>
      <c r="B126" s="1" t="s">
        <v>22</v>
      </c>
      <c r="C126" s="2" t="s">
        <v>23</v>
      </c>
      <c r="D126" s="0" t="s">
        <v>211</v>
      </c>
      <c r="E126" s="1" t="s">
        <v>212</v>
      </c>
      <c r="F126" s="1" t="n">
        <v>7601</v>
      </c>
      <c r="G126" s="1" t="n">
        <v>10</v>
      </c>
      <c r="H126" s="3" t="n">
        <v>0.0013</v>
      </c>
      <c r="I126" s="1" t="n">
        <v>1</v>
      </c>
      <c r="J126" s="4" t="n">
        <v>2.71</v>
      </c>
      <c r="K126" s="15" t="n">
        <v>0.1</v>
      </c>
      <c r="L126" s="1" t="n">
        <v>1</v>
      </c>
      <c r="M126" s="5" t="n">
        <v>59.42</v>
      </c>
      <c r="N126" s="5" t="n">
        <v>2.71</v>
      </c>
      <c r="O126" s="3" t="n">
        <v>0.0456</v>
      </c>
      <c r="S126" s="16" t="n">
        <v>0.3</v>
      </c>
      <c r="T126" s="17" t="n">
        <f aca="false">+S126*(M126-J126-N126)</f>
        <v>16.2</v>
      </c>
      <c r="U126" s="16" t="n">
        <f aca="false">+T126/M126</f>
        <v>0.272635476270616</v>
      </c>
      <c r="V126" s="18" t="n">
        <f aca="false">+T126*U126</f>
        <v>4.41669471558398</v>
      </c>
    </row>
    <row r="127" customFormat="false" ht="13.8" hidden="false" customHeight="false" outlineLevel="0" collapsed="false">
      <c r="A127" s="0" t="n">
        <f aca="false">+1+A126</f>
        <v>126</v>
      </c>
      <c r="B127" s="1" t="s">
        <v>22</v>
      </c>
      <c r="C127" s="2" t="s">
        <v>23</v>
      </c>
      <c r="D127" s="0" t="s">
        <v>213</v>
      </c>
      <c r="E127" s="1" t="s">
        <v>214</v>
      </c>
      <c r="F127" s="1" t="n">
        <v>7580</v>
      </c>
      <c r="G127" s="1" t="n">
        <v>7</v>
      </c>
      <c r="H127" s="3" t="n">
        <v>0.0009</v>
      </c>
      <c r="I127" s="1" t="n">
        <v>0</v>
      </c>
      <c r="K127" s="15"/>
      <c r="L127" s="1" t="n">
        <v>0</v>
      </c>
      <c r="M127" s="5" t="n">
        <v>0</v>
      </c>
      <c r="N127" s="5" t="n">
        <v>1.6</v>
      </c>
      <c r="S127" s="16" t="n">
        <v>0.3</v>
      </c>
      <c r="T127" s="17" t="n">
        <f aca="false">+S127*(M127-J127-N127)</f>
        <v>-0.48</v>
      </c>
      <c r="U127" s="16" t="e">
        <f aca="false">+T127/M127</f>
        <v>#DIV/0!</v>
      </c>
      <c r="V127" s="18" t="e">
        <f aca="false">+T127*U127</f>
        <v>#DIV/0!</v>
      </c>
    </row>
    <row r="128" customFormat="false" ht="13.8" hidden="false" customHeight="false" outlineLevel="0" collapsed="false">
      <c r="A128" s="0" t="n">
        <f aca="false">+1+A127</f>
        <v>127</v>
      </c>
      <c r="B128" s="1" t="s">
        <v>22</v>
      </c>
      <c r="C128" s="2" t="s">
        <v>23</v>
      </c>
      <c r="D128" s="0" t="s">
        <v>70</v>
      </c>
      <c r="E128" s="1" t="s">
        <v>71</v>
      </c>
      <c r="F128" s="1" t="n">
        <v>7321</v>
      </c>
      <c r="G128" s="1" t="n">
        <v>13</v>
      </c>
      <c r="H128" s="3" t="n">
        <v>0.0018</v>
      </c>
      <c r="I128" s="1" t="n">
        <v>0</v>
      </c>
      <c r="K128" s="15"/>
      <c r="L128" s="1" t="n">
        <v>0</v>
      </c>
      <c r="M128" s="5" t="n">
        <v>0</v>
      </c>
      <c r="N128" s="5" t="n">
        <v>3.96</v>
      </c>
      <c r="S128" s="16" t="n">
        <v>0.3</v>
      </c>
      <c r="T128" s="17" t="n">
        <f aca="false">+S128*(M128-J128-N128)</f>
        <v>-1.188</v>
      </c>
      <c r="U128" s="16" t="e">
        <f aca="false">+T128/M128</f>
        <v>#DIV/0!</v>
      </c>
      <c r="V128" s="18" t="e">
        <f aca="false">+T128*U128</f>
        <v>#DIV/0!</v>
      </c>
    </row>
    <row r="129" customFormat="false" ht="13.8" hidden="false" customHeight="false" outlineLevel="0" collapsed="false">
      <c r="A129" s="0" t="n">
        <f aca="false">+1+A128</f>
        <v>128</v>
      </c>
      <c r="B129" s="1" t="s">
        <v>22</v>
      </c>
      <c r="C129" s="2" t="s">
        <v>23</v>
      </c>
      <c r="D129" s="0" t="s">
        <v>215</v>
      </c>
      <c r="E129" s="1" t="s">
        <v>216</v>
      </c>
      <c r="F129" s="1" t="n">
        <v>7309</v>
      </c>
      <c r="G129" s="1" t="n">
        <v>41</v>
      </c>
      <c r="H129" s="3" t="n">
        <v>0.0056</v>
      </c>
      <c r="I129" s="1" t="n">
        <v>4</v>
      </c>
      <c r="J129" s="4" t="n">
        <v>27.65</v>
      </c>
      <c r="K129" s="15" t="n">
        <v>0.0976</v>
      </c>
      <c r="L129" s="1" t="n">
        <v>4</v>
      </c>
      <c r="M129" s="5" t="n">
        <v>369.32</v>
      </c>
      <c r="N129" s="5" t="n">
        <v>110.6</v>
      </c>
      <c r="O129" s="3" t="n">
        <v>0.2995</v>
      </c>
      <c r="S129" s="16" t="n">
        <v>0.3</v>
      </c>
      <c r="T129" s="17" t="n">
        <f aca="false">+S129*(M129-J129-N129)</f>
        <v>69.321</v>
      </c>
      <c r="U129" s="16" t="n">
        <f aca="false">+T129/M129</f>
        <v>0.187699014404852</v>
      </c>
      <c r="V129" s="18" t="n">
        <f aca="false">+T129*U129</f>
        <v>13.0114833775588</v>
      </c>
    </row>
    <row r="130" customFormat="false" ht="13.8" hidden="false" customHeight="false" outlineLevel="0" collapsed="false">
      <c r="A130" s="0" t="n">
        <f aca="false">+1+A129</f>
        <v>129</v>
      </c>
      <c r="B130" s="1" t="s">
        <v>22</v>
      </c>
      <c r="C130" s="2" t="s">
        <v>23</v>
      </c>
      <c r="D130" s="0" t="s">
        <v>217</v>
      </c>
      <c r="E130" s="1" t="s">
        <v>218</v>
      </c>
      <c r="F130" s="1" t="n">
        <v>7276</v>
      </c>
      <c r="G130" s="1" t="n">
        <v>15</v>
      </c>
      <c r="H130" s="3" t="n">
        <v>0.0021</v>
      </c>
      <c r="I130" s="1" t="n">
        <v>3</v>
      </c>
      <c r="J130" s="4" t="n">
        <v>2.44666666666667</v>
      </c>
      <c r="K130" s="15" t="n">
        <v>0.2</v>
      </c>
      <c r="L130" s="1" t="n">
        <v>3</v>
      </c>
      <c r="M130" s="5" t="n">
        <v>99.24</v>
      </c>
      <c r="N130" s="5" t="n">
        <v>7.34</v>
      </c>
      <c r="O130" s="3" t="n">
        <v>0.074</v>
      </c>
      <c r="S130" s="16" t="n">
        <v>0.3</v>
      </c>
      <c r="T130" s="17" t="n">
        <f aca="false">+S130*(M130-J130-N130)</f>
        <v>26.836</v>
      </c>
      <c r="U130" s="16" t="n">
        <f aca="false">+T130/M130</f>
        <v>0.270415155179363</v>
      </c>
      <c r="V130" s="18" t="n">
        <f aca="false">+T130*U130</f>
        <v>7.25686110439339</v>
      </c>
    </row>
    <row r="131" customFormat="false" ht="13.8" hidden="false" customHeight="false" outlineLevel="0" collapsed="false">
      <c r="A131" s="0" t="n">
        <f aca="false">+1+A130</f>
        <v>130</v>
      </c>
      <c r="B131" s="1" t="s">
        <v>22</v>
      </c>
      <c r="C131" s="2" t="s">
        <v>23</v>
      </c>
      <c r="D131" s="0" t="s">
        <v>219</v>
      </c>
      <c r="E131" s="1" t="s">
        <v>220</v>
      </c>
      <c r="F131" s="1" t="n">
        <v>7258</v>
      </c>
      <c r="G131" s="1" t="n">
        <v>2</v>
      </c>
      <c r="H131" s="3" t="n">
        <v>0.0003</v>
      </c>
      <c r="I131" s="1" t="n">
        <v>0</v>
      </c>
      <c r="K131" s="15"/>
      <c r="L131" s="1" t="n">
        <v>0</v>
      </c>
      <c r="M131" s="5" t="n">
        <v>0</v>
      </c>
      <c r="N131" s="5" t="n">
        <v>0.9</v>
      </c>
      <c r="S131" s="16" t="n">
        <v>0.3</v>
      </c>
      <c r="T131" s="17" t="n">
        <f aca="false">+S131*(M131-J131-N131)</f>
        <v>-0.27</v>
      </c>
      <c r="U131" s="16" t="e">
        <f aca="false">+T131/M131</f>
        <v>#DIV/0!</v>
      </c>
      <c r="V131" s="18" t="e">
        <f aca="false">+T131*U131</f>
        <v>#DIV/0!</v>
      </c>
    </row>
    <row r="132" customFormat="false" ht="13.8" hidden="false" customHeight="false" outlineLevel="0" collapsed="false">
      <c r="A132" s="0" t="n">
        <f aca="false">+1+A131</f>
        <v>131</v>
      </c>
      <c r="B132" s="1" t="s">
        <v>22</v>
      </c>
      <c r="C132" s="2" t="s">
        <v>23</v>
      </c>
      <c r="D132" s="0" t="s">
        <v>165</v>
      </c>
      <c r="E132" s="1" t="s">
        <v>166</v>
      </c>
      <c r="F132" s="1" t="n">
        <v>7218</v>
      </c>
      <c r="G132" s="1" t="n">
        <v>38</v>
      </c>
      <c r="H132" s="3" t="n">
        <v>0.0053</v>
      </c>
      <c r="I132" s="1" t="n">
        <v>1</v>
      </c>
      <c r="J132" s="4" t="n">
        <v>22.82</v>
      </c>
      <c r="K132" s="15" t="n">
        <v>0.0263</v>
      </c>
      <c r="L132" s="1" t="n">
        <v>1</v>
      </c>
      <c r="M132" s="5" t="n">
        <v>78.9</v>
      </c>
      <c r="N132" s="5" t="n">
        <v>22.82</v>
      </c>
      <c r="O132" s="3" t="n">
        <v>0.2892</v>
      </c>
      <c r="S132" s="16" t="n">
        <v>0.3</v>
      </c>
      <c r="T132" s="17" t="n">
        <f aca="false">+S132*(M132-J132-N132)</f>
        <v>9.978</v>
      </c>
      <c r="U132" s="16" t="n">
        <f aca="false">+T132/M132</f>
        <v>0.126463878326996</v>
      </c>
      <c r="V132" s="18" t="n">
        <f aca="false">+T132*U132</f>
        <v>1.26185657794677</v>
      </c>
    </row>
    <row r="133" customFormat="false" ht="13.8" hidden="false" customHeight="false" outlineLevel="0" collapsed="false">
      <c r="A133" s="0" t="n">
        <f aca="false">+1+A132</f>
        <v>132</v>
      </c>
      <c r="B133" s="1" t="s">
        <v>22</v>
      </c>
      <c r="C133" s="2" t="s">
        <v>23</v>
      </c>
      <c r="D133" s="0" t="s">
        <v>221</v>
      </c>
      <c r="E133" s="1" t="s">
        <v>73</v>
      </c>
      <c r="F133" s="1" t="n">
        <v>7050</v>
      </c>
      <c r="G133" s="1" t="n">
        <v>9</v>
      </c>
      <c r="H133" s="3" t="n">
        <v>0.0013</v>
      </c>
      <c r="I133" s="1" t="n">
        <v>2</v>
      </c>
      <c r="J133" s="4" t="n">
        <v>5.03</v>
      </c>
      <c r="K133" s="15" t="n">
        <v>0.2222</v>
      </c>
      <c r="L133" s="1" t="n">
        <v>2</v>
      </c>
      <c r="M133" s="5" t="n">
        <v>115.82</v>
      </c>
      <c r="N133" s="5" t="n">
        <v>10.06</v>
      </c>
      <c r="O133" s="3" t="n">
        <v>0.0869</v>
      </c>
      <c r="S133" s="16" t="n">
        <v>0.3</v>
      </c>
      <c r="T133" s="17" t="n">
        <f aca="false">+S133*(M133-J133-N133)</f>
        <v>30.219</v>
      </c>
      <c r="U133" s="16" t="n">
        <f aca="false">+T133/M133</f>
        <v>0.260913486444483</v>
      </c>
      <c r="V133" s="18" t="n">
        <f aca="false">+T133*U133</f>
        <v>7.88454464686582</v>
      </c>
    </row>
    <row r="134" customFormat="false" ht="13.8" hidden="false" customHeight="false" outlineLevel="0" collapsed="false">
      <c r="A134" s="0" t="n">
        <f aca="false">+1+A133</f>
        <v>133</v>
      </c>
      <c r="B134" s="1" t="s">
        <v>22</v>
      </c>
      <c r="C134" s="2" t="s">
        <v>23</v>
      </c>
      <c r="D134" s="0" t="s">
        <v>222</v>
      </c>
      <c r="E134" s="1" t="s">
        <v>223</v>
      </c>
      <c r="F134" s="1" t="n">
        <v>6705</v>
      </c>
      <c r="G134" s="1" t="n">
        <v>2</v>
      </c>
      <c r="H134" s="3" t="n">
        <v>0.0003</v>
      </c>
      <c r="I134" s="1" t="n">
        <v>0</v>
      </c>
      <c r="K134" s="15"/>
      <c r="L134" s="1" t="n">
        <v>0</v>
      </c>
      <c r="M134" s="5" t="n">
        <v>0</v>
      </c>
      <c r="N134" s="5" t="n">
        <v>0.65</v>
      </c>
      <c r="S134" s="16" t="n">
        <v>0.3</v>
      </c>
      <c r="T134" s="17" t="n">
        <f aca="false">+S134*(M134-J134-N134)</f>
        <v>-0.195</v>
      </c>
      <c r="U134" s="16" t="e">
        <f aca="false">+T134/M134</f>
        <v>#DIV/0!</v>
      </c>
      <c r="V134" s="18" t="e">
        <f aca="false">+T134*U134</f>
        <v>#DIV/0!</v>
      </c>
    </row>
    <row r="135" customFormat="false" ht="13.8" hidden="false" customHeight="false" outlineLevel="0" collapsed="false">
      <c r="A135" s="0" t="n">
        <f aca="false">+1+A134</f>
        <v>134</v>
      </c>
      <c r="B135" s="1" t="s">
        <v>22</v>
      </c>
      <c r="C135" s="2" t="s">
        <v>23</v>
      </c>
      <c r="D135" s="0" t="s">
        <v>224</v>
      </c>
      <c r="E135" s="1" t="s">
        <v>225</v>
      </c>
      <c r="F135" s="1" t="n">
        <v>6286</v>
      </c>
      <c r="G135" s="1" t="n">
        <v>4</v>
      </c>
      <c r="H135" s="3" t="n">
        <v>0.0006</v>
      </c>
      <c r="I135" s="1" t="n">
        <v>0</v>
      </c>
      <c r="K135" s="15"/>
      <c r="L135" s="1" t="n">
        <v>0</v>
      </c>
      <c r="M135" s="5" t="n">
        <v>0</v>
      </c>
      <c r="N135" s="5" t="n">
        <v>2.14</v>
      </c>
      <c r="S135" s="16" t="n">
        <v>0.3</v>
      </c>
      <c r="T135" s="17" t="n">
        <f aca="false">+S135*(M135-J135-N135)</f>
        <v>-0.642</v>
      </c>
      <c r="U135" s="16" t="e">
        <f aca="false">+T135/M135</f>
        <v>#DIV/0!</v>
      </c>
      <c r="V135" s="18" t="e">
        <f aca="false">+T135*U135</f>
        <v>#DIV/0!</v>
      </c>
    </row>
    <row r="136" customFormat="false" ht="13.8" hidden="false" customHeight="false" outlineLevel="0" collapsed="false">
      <c r="A136" s="0" t="n">
        <f aca="false">+1+A135</f>
        <v>135</v>
      </c>
      <c r="B136" s="1" t="s">
        <v>22</v>
      </c>
      <c r="C136" s="2" t="s">
        <v>23</v>
      </c>
      <c r="D136" s="0" t="s">
        <v>226</v>
      </c>
      <c r="E136" s="1" t="s">
        <v>227</v>
      </c>
      <c r="F136" s="1" t="n">
        <v>6201</v>
      </c>
      <c r="G136" s="1" t="n">
        <v>25</v>
      </c>
      <c r="H136" s="3" t="n">
        <v>0.004</v>
      </c>
      <c r="I136" s="1" t="n">
        <v>1</v>
      </c>
      <c r="J136" s="4" t="n">
        <v>11.8</v>
      </c>
      <c r="K136" s="15" t="n">
        <v>0.04</v>
      </c>
      <c r="L136" s="1" t="n">
        <v>1</v>
      </c>
      <c r="M136" s="5" t="n">
        <v>42.2</v>
      </c>
      <c r="N136" s="5" t="n">
        <v>11.8</v>
      </c>
      <c r="O136" s="3" t="n">
        <v>0.2796</v>
      </c>
      <c r="S136" s="16" t="n">
        <v>0.3</v>
      </c>
      <c r="T136" s="17" t="n">
        <f aca="false">+S136*(M136-J136-N136)</f>
        <v>5.58</v>
      </c>
      <c r="U136" s="16" t="n">
        <f aca="false">+T136/M136</f>
        <v>0.132227488151659</v>
      </c>
      <c r="V136" s="18" t="n">
        <f aca="false">+T136*U136</f>
        <v>0.737829383886256</v>
      </c>
    </row>
    <row r="137" customFormat="false" ht="13.8" hidden="false" customHeight="false" outlineLevel="0" collapsed="false">
      <c r="A137" s="0" t="n">
        <f aca="false">+1+A136</f>
        <v>136</v>
      </c>
      <c r="B137" s="1" t="s">
        <v>22</v>
      </c>
      <c r="C137" s="2" t="s">
        <v>23</v>
      </c>
      <c r="D137" s="0" t="s">
        <v>228</v>
      </c>
      <c r="E137" s="1" t="s">
        <v>229</v>
      </c>
      <c r="F137" s="1" t="n">
        <v>6127</v>
      </c>
      <c r="G137" s="1" t="n">
        <v>11</v>
      </c>
      <c r="H137" s="3" t="n">
        <v>0.0018</v>
      </c>
      <c r="I137" s="1" t="n">
        <v>0</v>
      </c>
      <c r="K137" s="15"/>
      <c r="L137" s="1" t="n">
        <v>0</v>
      </c>
      <c r="M137" s="5" t="n">
        <v>0</v>
      </c>
      <c r="N137" s="5" t="n">
        <v>6.36</v>
      </c>
      <c r="S137" s="16" t="n">
        <v>0.3</v>
      </c>
      <c r="T137" s="17" t="n">
        <f aca="false">+S137*(M137-J137-N137)</f>
        <v>-1.908</v>
      </c>
      <c r="U137" s="16" t="e">
        <f aca="false">+T137/M137</f>
        <v>#DIV/0!</v>
      </c>
      <c r="V137" s="18" t="e">
        <f aca="false">+T137*U137</f>
        <v>#DIV/0!</v>
      </c>
    </row>
    <row r="138" customFormat="false" ht="13.8" hidden="false" customHeight="false" outlineLevel="0" collapsed="false">
      <c r="A138" s="0" t="n">
        <f aca="false">+1+A137</f>
        <v>137</v>
      </c>
      <c r="B138" s="1" t="s">
        <v>22</v>
      </c>
      <c r="C138" s="2" t="s">
        <v>23</v>
      </c>
      <c r="D138" s="0" t="s">
        <v>230</v>
      </c>
      <c r="E138" s="1" t="s">
        <v>231</v>
      </c>
      <c r="F138" s="1" t="n">
        <v>5911</v>
      </c>
      <c r="G138" s="1" t="n">
        <v>48</v>
      </c>
      <c r="H138" s="3" t="n">
        <v>0.0081</v>
      </c>
      <c r="I138" s="1" t="n">
        <v>3</v>
      </c>
      <c r="J138" s="4" t="n">
        <v>12.5866666666667</v>
      </c>
      <c r="K138" s="15" t="n">
        <v>0.0625</v>
      </c>
      <c r="L138" s="1" t="n">
        <v>3</v>
      </c>
      <c r="M138" s="5" t="n">
        <v>97.5</v>
      </c>
      <c r="N138" s="5" t="n">
        <v>37.76</v>
      </c>
      <c r="O138" s="3" t="n">
        <v>0.3873</v>
      </c>
      <c r="S138" s="16" t="n">
        <v>0.3</v>
      </c>
      <c r="T138" s="17" t="n">
        <f aca="false">+S138*(M138-J138-N138)</f>
        <v>14.146</v>
      </c>
      <c r="U138" s="16" t="n">
        <f aca="false">+T138/M138</f>
        <v>0.145087179487179</v>
      </c>
      <c r="V138" s="18" t="n">
        <f aca="false">+T138*U138</f>
        <v>2.05240324102564</v>
      </c>
    </row>
    <row r="139" customFormat="false" ht="13.8" hidden="false" customHeight="false" outlineLevel="0" collapsed="false">
      <c r="A139" s="0" t="n">
        <f aca="false">+1+A138</f>
        <v>138</v>
      </c>
      <c r="B139" s="1" t="s">
        <v>22</v>
      </c>
      <c r="C139" s="2" t="s">
        <v>23</v>
      </c>
      <c r="D139" s="0" t="s">
        <v>64</v>
      </c>
      <c r="E139" s="1" t="s">
        <v>65</v>
      </c>
      <c r="F139" s="1" t="n">
        <v>5820</v>
      </c>
      <c r="G139" s="1" t="n">
        <v>27</v>
      </c>
      <c r="H139" s="3" t="n">
        <v>0.0046</v>
      </c>
      <c r="I139" s="1" t="n">
        <v>1</v>
      </c>
      <c r="J139" s="4" t="n">
        <v>32.11</v>
      </c>
      <c r="K139" s="15" t="n">
        <v>0.037</v>
      </c>
      <c r="L139" s="1" t="n">
        <v>1</v>
      </c>
      <c r="M139" s="5" t="n">
        <v>92.27</v>
      </c>
      <c r="N139" s="5" t="n">
        <v>32.11</v>
      </c>
      <c r="O139" s="3" t="n">
        <v>0.348</v>
      </c>
      <c r="S139" s="16" t="n">
        <v>0.3</v>
      </c>
      <c r="T139" s="17" t="n">
        <f aca="false">+S139*(M139-J139-N139)</f>
        <v>8.415</v>
      </c>
      <c r="U139" s="16" t="n">
        <f aca="false">+T139/M139</f>
        <v>0.09119973989379</v>
      </c>
      <c r="V139" s="18" t="n">
        <f aca="false">+T139*U139</f>
        <v>0.767445811206242</v>
      </c>
    </row>
    <row r="140" customFormat="false" ht="13.8" hidden="false" customHeight="false" outlineLevel="0" collapsed="false">
      <c r="A140" s="0" t="n">
        <f aca="false">+1+A139</f>
        <v>139</v>
      </c>
      <c r="B140" s="1" t="s">
        <v>22</v>
      </c>
      <c r="C140" s="2" t="s">
        <v>23</v>
      </c>
      <c r="D140" s="0" t="s">
        <v>232</v>
      </c>
      <c r="E140" s="1" t="s">
        <v>233</v>
      </c>
      <c r="F140" s="1" t="n">
        <v>5763</v>
      </c>
      <c r="G140" s="1" t="n">
        <v>5</v>
      </c>
      <c r="H140" s="3" t="n">
        <v>0.0009</v>
      </c>
      <c r="I140" s="1" t="n">
        <v>0</v>
      </c>
      <c r="K140" s="15"/>
      <c r="L140" s="1" t="n">
        <v>0</v>
      </c>
      <c r="M140" s="5" t="n">
        <v>0</v>
      </c>
      <c r="N140" s="5" t="n">
        <v>1.26</v>
      </c>
      <c r="S140" s="16" t="n">
        <v>0.3</v>
      </c>
      <c r="T140" s="17" t="n">
        <f aca="false">+S140*(M140-J140-N140)</f>
        <v>-0.378</v>
      </c>
      <c r="U140" s="16" t="e">
        <f aca="false">+T140/M140</f>
        <v>#DIV/0!</v>
      </c>
      <c r="V140" s="18" t="e">
        <f aca="false">+T140*U140</f>
        <v>#DIV/0!</v>
      </c>
    </row>
    <row r="141" customFormat="false" ht="13.8" hidden="false" customHeight="false" outlineLevel="0" collapsed="false">
      <c r="A141" s="0" t="n">
        <f aca="false">+1+A140</f>
        <v>140</v>
      </c>
      <c r="B141" s="1" t="s">
        <v>22</v>
      </c>
      <c r="C141" s="2" t="s">
        <v>23</v>
      </c>
      <c r="D141" s="0" t="s">
        <v>234</v>
      </c>
      <c r="E141" s="1" t="s">
        <v>235</v>
      </c>
      <c r="F141" s="1" t="n">
        <v>5428</v>
      </c>
      <c r="G141" s="1" t="n">
        <v>19</v>
      </c>
      <c r="H141" s="3" t="n">
        <v>0.0035</v>
      </c>
      <c r="I141" s="1" t="n">
        <v>0</v>
      </c>
      <c r="K141" s="15"/>
      <c r="L141" s="1" t="n">
        <v>0</v>
      </c>
      <c r="M141" s="5" t="n">
        <v>0</v>
      </c>
      <c r="N141" s="5" t="n">
        <v>13.91</v>
      </c>
      <c r="S141" s="16" t="n">
        <v>0.3</v>
      </c>
      <c r="T141" s="17" t="n">
        <f aca="false">+S141*(M141-J141-N141)</f>
        <v>-4.173</v>
      </c>
      <c r="U141" s="16" t="e">
        <f aca="false">+T141/M141</f>
        <v>#DIV/0!</v>
      </c>
      <c r="V141" s="18" t="e">
        <f aca="false">+T141*U141</f>
        <v>#DIV/0!</v>
      </c>
    </row>
    <row r="142" customFormat="false" ht="13.8" hidden="false" customHeight="false" outlineLevel="0" collapsed="false">
      <c r="A142" s="0" t="n">
        <f aca="false">+1+A141</f>
        <v>141</v>
      </c>
      <c r="B142" s="1" t="s">
        <v>22</v>
      </c>
      <c r="C142" s="2" t="s">
        <v>23</v>
      </c>
      <c r="D142" s="0" t="s">
        <v>236</v>
      </c>
      <c r="E142" s="1" t="s">
        <v>237</v>
      </c>
      <c r="F142" s="1" t="n">
        <v>5420</v>
      </c>
      <c r="G142" s="1" t="n">
        <v>1</v>
      </c>
      <c r="H142" s="3" t="n">
        <v>0.0002</v>
      </c>
      <c r="I142" s="1" t="n">
        <v>0</v>
      </c>
      <c r="K142" s="15"/>
      <c r="L142" s="1" t="n">
        <v>0</v>
      </c>
      <c r="M142" s="5" t="n">
        <v>0</v>
      </c>
      <c r="N142" s="5" t="n">
        <v>0.54</v>
      </c>
      <c r="S142" s="16" t="n">
        <v>0.3</v>
      </c>
      <c r="T142" s="17" t="n">
        <f aca="false">+S142*(M142-J142-N142)</f>
        <v>-0.162</v>
      </c>
      <c r="U142" s="16" t="e">
        <f aca="false">+T142/M142</f>
        <v>#DIV/0!</v>
      </c>
      <c r="V142" s="18" t="e">
        <f aca="false">+T142*U142</f>
        <v>#DIV/0!</v>
      </c>
    </row>
    <row r="143" customFormat="false" ht="13.8" hidden="false" customHeight="false" outlineLevel="0" collapsed="false">
      <c r="A143" s="0" t="n">
        <f aca="false">+1+A142</f>
        <v>142</v>
      </c>
      <c r="B143" s="1" t="s">
        <v>22</v>
      </c>
      <c r="C143" s="2" t="s">
        <v>23</v>
      </c>
      <c r="D143" s="0" t="s">
        <v>238</v>
      </c>
      <c r="E143" s="1" t="s">
        <v>239</v>
      </c>
      <c r="F143" s="1" t="n">
        <v>5397</v>
      </c>
      <c r="G143" s="1" t="n">
        <v>0</v>
      </c>
      <c r="I143" s="1" t="n">
        <v>0</v>
      </c>
      <c r="K143" s="15"/>
      <c r="L143" s="1" t="n">
        <v>0</v>
      </c>
      <c r="M143" s="5" t="n">
        <v>0</v>
      </c>
      <c r="N143" s="5" t="n">
        <v>0</v>
      </c>
      <c r="S143" s="16" t="n">
        <v>0.3</v>
      </c>
      <c r="T143" s="17" t="n">
        <f aca="false">+S143*(M143-J143-N143)</f>
        <v>0</v>
      </c>
      <c r="U143" s="16" t="e">
        <f aca="false">+T143/M143</f>
        <v>#DIV/0!</v>
      </c>
      <c r="V143" s="18" t="e">
        <f aca="false">+T143*U143</f>
        <v>#DIV/0!</v>
      </c>
    </row>
    <row r="144" customFormat="false" ht="13.8" hidden="false" customHeight="false" outlineLevel="0" collapsed="false">
      <c r="A144" s="0" t="n">
        <f aca="false">+1+A143</f>
        <v>143</v>
      </c>
      <c r="B144" s="1" t="s">
        <v>22</v>
      </c>
      <c r="C144" s="2" t="s">
        <v>23</v>
      </c>
      <c r="D144" s="0" t="s">
        <v>149</v>
      </c>
      <c r="E144" s="1" t="s">
        <v>150</v>
      </c>
      <c r="F144" s="1" t="n">
        <v>5324</v>
      </c>
      <c r="G144" s="1" t="n">
        <v>49</v>
      </c>
      <c r="H144" s="3" t="n">
        <v>0.0092</v>
      </c>
      <c r="I144" s="1" t="n">
        <v>6</v>
      </c>
      <c r="J144" s="4" t="n">
        <v>6.35166666666667</v>
      </c>
      <c r="K144" s="15" t="n">
        <v>0.1224</v>
      </c>
      <c r="L144" s="1" t="n">
        <v>6</v>
      </c>
      <c r="M144" s="5" t="n">
        <v>388.57</v>
      </c>
      <c r="N144" s="5" t="n">
        <v>38.11</v>
      </c>
      <c r="O144" s="3" t="n">
        <v>0.0981</v>
      </c>
      <c r="S144" s="16" t="n">
        <v>0.3</v>
      </c>
      <c r="T144" s="17" t="n">
        <f aca="false">+S144*(M144-J144-N144)</f>
        <v>103.2325</v>
      </c>
      <c r="U144" s="16" t="n">
        <f aca="false">+T144/M144</f>
        <v>0.265672851738425</v>
      </c>
      <c r="V144" s="18" t="n">
        <f aca="false">+T144*U144</f>
        <v>27.426072667087</v>
      </c>
    </row>
    <row r="145" customFormat="false" ht="13.8" hidden="false" customHeight="false" outlineLevel="0" collapsed="false">
      <c r="A145" s="0" t="n">
        <f aca="false">+1+A144</f>
        <v>144</v>
      </c>
      <c r="B145" s="1" t="s">
        <v>22</v>
      </c>
      <c r="C145" s="2" t="s">
        <v>23</v>
      </c>
      <c r="D145" s="0" t="s">
        <v>240</v>
      </c>
      <c r="E145" s="1" t="s">
        <v>241</v>
      </c>
      <c r="F145" s="1" t="n">
        <v>5007</v>
      </c>
      <c r="G145" s="1" t="n">
        <v>50</v>
      </c>
      <c r="H145" s="3" t="n">
        <v>0.01</v>
      </c>
      <c r="I145" s="1" t="n">
        <v>3</v>
      </c>
      <c r="J145" s="4" t="n">
        <v>5.43</v>
      </c>
      <c r="K145" s="15" t="n">
        <v>0.06</v>
      </c>
      <c r="L145" s="1" t="n">
        <v>3</v>
      </c>
      <c r="M145" s="5" t="n">
        <v>168.9</v>
      </c>
      <c r="N145" s="5" t="n">
        <v>16.29</v>
      </c>
      <c r="O145" s="3" t="n">
        <v>0.0964</v>
      </c>
      <c r="S145" s="16" t="n">
        <v>0.3</v>
      </c>
      <c r="T145" s="17" t="n">
        <f aca="false">+S145*(M145-J145-N145)</f>
        <v>44.154</v>
      </c>
      <c r="U145" s="16" t="n">
        <f aca="false">+T145/M145</f>
        <v>0.261420959147424</v>
      </c>
      <c r="V145" s="18" t="n">
        <f aca="false">+T145*U145</f>
        <v>11.5427810301954</v>
      </c>
    </row>
    <row r="146" customFormat="false" ht="13.8" hidden="false" customHeight="false" outlineLevel="0" collapsed="false">
      <c r="A146" s="0" t="n">
        <f aca="false">+1+A145</f>
        <v>145</v>
      </c>
      <c r="B146" s="1" t="s">
        <v>22</v>
      </c>
      <c r="C146" s="2" t="s">
        <v>23</v>
      </c>
      <c r="D146" s="0" t="s">
        <v>242</v>
      </c>
      <c r="E146" s="1" t="s">
        <v>243</v>
      </c>
      <c r="F146" s="1" t="n">
        <v>5004</v>
      </c>
      <c r="G146" s="1" t="n">
        <v>27</v>
      </c>
      <c r="H146" s="3" t="n">
        <v>0.0054</v>
      </c>
      <c r="I146" s="1" t="n">
        <v>1</v>
      </c>
      <c r="J146" s="4" t="n">
        <v>19.15</v>
      </c>
      <c r="K146" s="15" t="n">
        <v>0.037</v>
      </c>
      <c r="L146" s="1" t="n">
        <v>1</v>
      </c>
      <c r="M146" s="5" t="n">
        <v>55.19</v>
      </c>
      <c r="N146" s="5" t="n">
        <v>19.15</v>
      </c>
      <c r="O146" s="3" t="n">
        <v>0.347</v>
      </c>
      <c r="S146" s="16" t="n">
        <v>0.3</v>
      </c>
      <c r="T146" s="17" t="n">
        <f aca="false">+S146*(M146-J146-N146)</f>
        <v>5.067</v>
      </c>
      <c r="U146" s="16" t="n">
        <f aca="false">+T146/M146</f>
        <v>0.0918101105272694</v>
      </c>
      <c r="V146" s="18" t="n">
        <f aca="false">+T146*U146</f>
        <v>0.465201830041674</v>
      </c>
    </row>
    <row r="147" customFormat="false" ht="13.8" hidden="false" customHeight="false" outlineLevel="0" collapsed="false">
      <c r="A147" s="0" t="n">
        <f aca="false">+1+A146</f>
        <v>146</v>
      </c>
      <c r="B147" s="1" t="s">
        <v>22</v>
      </c>
      <c r="C147" s="2" t="s">
        <v>23</v>
      </c>
      <c r="D147" s="0" t="s">
        <v>244</v>
      </c>
      <c r="E147" s="1" t="s">
        <v>245</v>
      </c>
      <c r="F147" s="1" t="n">
        <v>4740</v>
      </c>
      <c r="G147" s="1" t="n">
        <v>12</v>
      </c>
      <c r="H147" s="3" t="n">
        <v>0.0025</v>
      </c>
      <c r="I147" s="1" t="n">
        <v>0</v>
      </c>
      <c r="K147" s="15"/>
      <c r="L147" s="1" t="n">
        <v>0</v>
      </c>
      <c r="M147" s="5" t="n">
        <v>0</v>
      </c>
      <c r="N147" s="5" t="n">
        <v>2.03</v>
      </c>
      <c r="S147" s="16" t="n">
        <v>0.3</v>
      </c>
      <c r="T147" s="17" t="n">
        <f aca="false">+S147*(M147-J147-N147)</f>
        <v>-0.609</v>
      </c>
      <c r="U147" s="16" t="e">
        <f aca="false">+T147/M147</f>
        <v>#DIV/0!</v>
      </c>
      <c r="V147" s="18" t="e">
        <f aca="false">+T147*U147</f>
        <v>#DIV/0!</v>
      </c>
    </row>
    <row r="148" customFormat="false" ht="13.8" hidden="false" customHeight="false" outlineLevel="0" collapsed="false">
      <c r="A148" s="0" t="n">
        <f aca="false">+1+A147</f>
        <v>147</v>
      </c>
      <c r="B148" s="1" t="s">
        <v>22</v>
      </c>
      <c r="C148" s="2" t="s">
        <v>23</v>
      </c>
      <c r="D148" s="0" t="s">
        <v>246</v>
      </c>
      <c r="E148" s="1" t="s">
        <v>55</v>
      </c>
      <c r="F148" s="1" t="n">
        <v>4449</v>
      </c>
      <c r="G148" s="1" t="n">
        <v>8</v>
      </c>
      <c r="H148" s="3" t="n">
        <v>0.0018</v>
      </c>
      <c r="I148" s="1" t="n">
        <v>1</v>
      </c>
      <c r="J148" s="4" t="n">
        <v>7.74</v>
      </c>
      <c r="K148" s="15" t="n">
        <v>0.125</v>
      </c>
      <c r="L148" s="1" t="n">
        <v>1</v>
      </c>
      <c r="M148" s="5" t="n">
        <v>65.9</v>
      </c>
      <c r="N148" s="5" t="n">
        <v>7.74</v>
      </c>
      <c r="O148" s="3" t="n">
        <v>0.1174</v>
      </c>
      <c r="S148" s="16" t="n">
        <v>0.3</v>
      </c>
      <c r="T148" s="17" t="n">
        <f aca="false">+S148*(M148-J148-N148)</f>
        <v>15.126</v>
      </c>
      <c r="U148" s="16" t="n">
        <f aca="false">+T148/M148</f>
        <v>0.229529590288316</v>
      </c>
      <c r="V148" s="18" t="n">
        <f aca="false">+T148*U148</f>
        <v>3.47186458270106</v>
      </c>
    </row>
    <row r="149" customFormat="false" ht="13.8" hidden="false" customHeight="false" outlineLevel="0" collapsed="false">
      <c r="A149" s="0" t="n">
        <f aca="false">+1+A148</f>
        <v>148</v>
      </c>
      <c r="B149" s="1" t="s">
        <v>22</v>
      </c>
      <c r="C149" s="2" t="s">
        <v>23</v>
      </c>
      <c r="D149" s="0" t="s">
        <v>247</v>
      </c>
      <c r="E149" s="1" t="s">
        <v>248</v>
      </c>
      <c r="F149" s="1" t="n">
        <v>4351</v>
      </c>
      <c r="G149" s="1" t="n">
        <v>31</v>
      </c>
      <c r="H149" s="3" t="n">
        <v>0.0071</v>
      </c>
      <c r="I149" s="1" t="n">
        <v>3</v>
      </c>
      <c r="J149" s="4" t="n">
        <v>5.29666666666667</v>
      </c>
      <c r="K149" s="15" t="n">
        <v>0.0968</v>
      </c>
      <c r="L149" s="1" t="n">
        <v>3</v>
      </c>
      <c r="M149" s="5" t="n">
        <v>161.9</v>
      </c>
      <c r="N149" s="5" t="n">
        <v>15.89</v>
      </c>
      <c r="O149" s="3" t="n">
        <v>0.0981</v>
      </c>
      <c r="S149" s="16" t="n">
        <v>0.3</v>
      </c>
      <c r="T149" s="17" t="n">
        <f aca="false">+S149*(M149-J149-N149)</f>
        <v>42.214</v>
      </c>
      <c r="U149" s="16" t="n">
        <f aca="false">+T149/M149</f>
        <v>0.260741198270537</v>
      </c>
      <c r="V149" s="18" t="n">
        <f aca="false">+T149*U149</f>
        <v>11.0069289437925</v>
      </c>
    </row>
    <row r="150" customFormat="false" ht="13.8" hidden="false" customHeight="false" outlineLevel="0" collapsed="false">
      <c r="A150" s="0" t="n">
        <f aca="false">+1+A149</f>
        <v>149</v>
      </c>
      <c r="B150" s="1" t="s">
        <v>22</v>
      </c>
      <c r="C150" s="2" t="s">
        <v>23</v>
      </c>
      <c r="D150" s="0" t="s">
        <v>249</v>
      </c>
      <c r="E150" s="1" t="s">
        <v>250</v>
      </c>
      <c r="F150" s="1" t="n">
        <v>4314</v>
      </c>
      <c r="G150" s="1" t="n">
        <v>8</v>
      </c>
      <c r="H150" s="3" t="n">
        <v>0.0019</v>
      </c>
      <c r="I150" s="1" t="n">
        <v>0</v>
      </c>
      <c r="K150" s="15"/>
      <c r="L150" s="1" t="n">
        <v>0</v>
      </c>
      <c r="M150" s="5" t="n">
        <v>0</v>
      </c>
      <c r="N150" s="5" t="n">
        <v>8.88</v>
      </c>
      <c r="S150" s="16" t="n">
        <v>0.3</v>
      </c>
      <c r="T150" s="17" t="n">
        <f aca="false">+S150*(M150-J150-N150)</f>
        <v>-2.664</v>
      </c>
      <c r="U150" s="16" t="e">
        <f aca="false">+T150/M150</f>
        <v>#DIV/0!</v>
      </c>
      <c r="V150" s="18" t="e">
        <f aca="false">+T150*U150</f>
        <v>#DIV/0!</v>
      </c>
    </row>
    <row r="151" customFormat="false" ht="13.8" hidden="false" customHeight="false" outlineLevel="0" collapsed="false">
      <c r="A151" s="0" t="n">
        <f aca="false">+1+A150</f>
        <v>150</v>
      </c>
      <c r="B151" s="1" t="s">
        <v>22</v>
      </c>
      <c r="C151" s="2" t="s">
        <v>23</v>
      </c>
      <c r="D151" s="0" t="s">
        <v>251</v>
      </c>
      <c r="E151" s="1" t="s">
        <v>252</v>
      </c>
      <c r="F151" s="1" t="n">
        <v>4295</v>
      </c>
      <c r="G151" s="1" t="n">
        <v>52</v>
      </c>
      <c r="H151" s="3" t="n">
        <v>0.0121</v>
      </c>
      <c r="I151" s="1" t="n">
        <v>5</v>
      </c>
      <c r="J151" s="4" t="n">
        <v>4.622</v>
      </c>
      <c r="K151" s="15" t="n">
        <v>0.0962</v>
      </c>
      <c r="L151" s="1" t="n">
        <v>5</v>
      </c>
      <c r="M151" s="5" t="n">
        <v>175.68</v>
      </c>
      <c r="N151" s="5" t="n">
        <v>23.11</v>
      </c>
      <c r="O151" s="3" t="n">
        <v>0.1315</v>
      </c>
      <c r="S151" s="16" t="n">
        <v>0.3</v>
      </c>
      <c r="T151" s="17" t="n">
        <f aca="false">+S151*(M151-J151-N151)</f>
        <v>44.3844</v>
      </c>
      <c r="U151" s="16" t="n">
        <f aca="false">+T151/M151</f>
        <v>0.252643442622951</v>
      </c>
      <c r="V151" s="18" t="n">
        <f aca="false">+T151*U151</f>
        <v>11.2134276147541</v>
      </c>
    </row>
    <row r="152" customFormat="false" ht="13.8" hidden="false" customHeight="false" outlineLevel="0" collapsed="false">
      <c r="A152" s="0" t="n">
        <f aca="false">+1+A151</f>
        <v>151</v>
      </c>
      <c r="B152" s="1" t="s">
        <v>22</v>
      </c>
      <c r="C152" s="2" t="s">
        <v>23</v>
      </c>
      <c r="D152" s="0" t="s">
        <v>253</v>
      </c>
      <c r="E152" s="1" t="s">
        <v>254</v>
      </c>
      <c r="F152" s="1" t="n">
        <v>4256</v>
      </c>
      <c r="G152" s="1" t="n">
        <v>7</v>
      </c>
      <c r="H152" s="3" t="n">
        <v>0.0016</v>
      </c>
      <c r="I152" s="1" t="n">
        <v>0</v>
      </c>
      <c r="K152" s="15"/>
      <c r="L152" s="1" t="n">
        <v>0</v>
      </c>
      <c r="M152" s="5" t="n">
        <v>0</v>
      </c>
      <c r="N152" s="5" t="n">
        <v>6.12</v>
      </c>
      <c r="S152" s="16" t="n">
        <v>0.3</v>
      </c>
      <c r="T152" s="17" t="n">
        <f aca="false">+S152*(M152-J152-N152)</f>
        <v>-1.836</v>
      </c>
      <c r="U152" s="16" t="e">
        <f aca="false">+T152/M152</f>
        <v>#DIV/0!</v>
      </c>
      <c r="V152" s="18" t="e">
        <f aca="false">+T152*U152</f>
        <v>#DIV/0!</v>
      </c>
    </row>
    <row r="153" customFormat="false" ht="13.8" hidden="false" customHeight="false" outlineLevel="0" collapsed="false">
      <c r="A153" s="0" t="n">
        <f aca="false">+1+A152</f>
        <v>152</v>
      </c>
      <c r="B153" s="1" t="s">
        <v>22</v>
      </c>
      <c r="C153" s="2" t="s">
        <v>23</v>
      </c>
      <c r="D153" s="0" t="s">
        <v>255</v>
      </c>
      <c r="E153" s="1" t="s">
        <v>256</v>
      </c>
      <c r="F153" s="1" t="n">
        <v>4226</v>
      </c>
      <c r="G153" s="1" t="n">
        <v>22</v>
      </c>
      <c r="H153" s="3" t="n">
        <v>0.0052</v>
      </c>
      <c r="I153" s="1" t="n">
        <v>2</v>
      </c>
      <c r="J153" s="4" t="n">
        <v>14.03</v>
      </c>
      <c r="K153" s="15" t="n">
        <v>0.0909</v>
      </c>
      <c r="L153" s="1" t="n">
        <v>2</v>
      </c>
      <c r="M153" s="5" t="n">
        <v>328.43</v>
      </c>
      <c r="N153" s="5" t="n">
        <v>28.06</v>
      </c>
      <c r="O153" s="3" t="n">
        <v>0.0854</v>
      </c>
      <c r="S153" s="16" t="n">
        <v>0.3</v>
      </c>
      <c r="T153" s="17" t="n">
        <f aca="false">+S153*(M153-J153-N153)</f>
        <v>85.902</v>
      </c>
      <c r="U153" s="16" t="n">
        <f aca="false">+T153/M153</f>
        <v>0.261553451268155</v>
      </c>
      <c r="V153" s="18" t="n">
        <f aca="false">+T153*U153</f>
        <v>22.467964570837</v>
      </c>
    </row>
    <row r="154" customFormat="false" ht="13.8" hidden="false" customHeight="false" outlineLevel="0" collapsed="false">
      <c r="A154" s="0" t="n">
        <f aca="false">+1+A153</f>
        <v>153</v>
      </c>
      <c r="B154" s="1" t="s">
        <v>22</v>
      </c>
      <c r="C154" s="2" t="s">
        <v>23</v>
      </c>
      <c r="D154" s="0" t="s">
        <v>257</v>
      </c>
      <c r="E154" s="1" t="s">
        <v>258</v>
      </c>
      <c r="F154" s="1" t="n">
        <v>4146</v>
      </c>
      <c r="G154" s="1" t="n">
        <v>5</v>
      </c>
      <c r="H154" s="3" t="n">
        <v>0.0012</v>
      </c>
      <c r="I154" s="1" t="n">
        <v>0</v>
      </c>
      <c r="K154" s="15"/>
      <c r="L154" s="1" t="n">
        <v>0</v>
      </c>
      <c r="M154" s="5" t="n">
        <v>0</v>
      </c>
      <c r="N154" s="5" t="n">
        <v>2.2</v>
      </c>
      <c r="S154" s="16" t="n">
        <v>0.3</v>
      </c>
      <c r="T154" s="17" t="n">
        <f aca="false">+S154*(M154-J154-N154)</f>
        <v>-0.66</v>
      </c>
      <c r="U154" s="16" t="e">
        <f aca="false">+T154/M154</f>
        <v>#DIV/0!</v>
      </c>
      <c r="V154" s="18" t="e">
        <f aca="false">+T154*U154</f>
        <v>#DIV/0!</v>
      </c>
    </row>
    <row r="155" customFormat="false" ht="13.8" hidden="false" customHeight="false" outlineLevel="0" collapsed="false">
      <c r="A155" s="0" t="n">
        <f aca="false">+1+A154</f>
        <v>154</v>
      </c>
      <c r="B155" s="1" t="s">
        <v>22</v>
      </c>
      <c r="C155" s="2" t="s">
        <v>23</v>
      </c>
      <c r="D155" s="0" t="s">
        <v>28</v>
      </c>
      <c r="E155" s="1" t="s">
        <v>29</v>
      </c>
      <c r="F155" s="1" t="n">
        <v>4043</v>
      </c>
      <c r="G155" s="1" t="n">
        <v>98</v>
      </c>
      <c r="H155" s="3" t="n">
        <v>0.0242</v>
      </c>
      <c r="I155" s="1" t="n">
        <v>6</v>
      </c>
      <c r="J155" s="4" t="n">
        <v>12.5516666666667</v>
      </c>
      <c r="K155" s="15" t="n">
        <v>0.0612</v>
      </c>
      <c r="L155" s="1" t="n">
        <v>6</v>
      </c>
      <c r="M155" s="5" t="n">
        <v>388.9</v>
      </c>
      <c r="N155" s="5" t="n">
        <v>75.31</v>
      </c>
      <c r="O155" s="3" t="n">
        <v>0.1936</v>
      </c>
      <c r="S155" s="16" t="n">
        <v>0.3</v>
      </c>
      <c r="T155" s="17" t="n">
        <f aca="false">+S155*(M155-J155-N155)</f>
        <v>90.3115</v>
      </c>
      <c r="U155" s="16" t="n">
        <f aca="false">+T155/M155</f>
        <v>0.232222936487529</v>
      </c>
      <c r="V155" s="18" t="n">
        <f aca="false">+T155*U155</f>
        <v>20.9724017285935</v>
      </c>
    </row>
    <row r="156" customFormat="false" ht="13.8" hidden="false" customHeight="false" outlineLevel="0" collapsed="false">
      <c r="A156" s="0" t="n">
        <f aca="false">+1+A155</f>
        <v>155</v>
      </c>
      <c r="B156" s="1" t="s">
        <v>22</v>
      </c>
      <c r="C156" s="2" t="s">
        <v>23</v>
      </c>
      <c r="D156" s="0" t="s">
        <v>259</v>
      </c>
      <c r="E156" s="1" t="s">
        <v>260</v>
      </c>
      <c r="F156" s="1" t="n">
        <v>3998</v>
      </c>
      <c r="G156" s="1" t="n">
        <v>1</v>
      </c>
      <c r="H156" s="3" t="n">
        <v>0.0003</v>
      </c>
      <c r="I156" s="1" t="n">
        <v>0</v>
      </c>
      <c r="K156" s="15"/>
      <c r="L156" s="1" t="n">
        <v>0</v>
      </c>
      <c r="M156" s="5" t="n">
        <v>0</v>
      </c>
      <c r="N156" s="5" t="n">
        <v>0.66</v>
      </c>
      <c r="S156" s="16" t="n">
        <v>0.3</v>
      </c>
      <c r="T156" s="17" t="n">
        <f aca="false">+S156*(M156-J156-N156)</f>
        <v>-0.198</v>
      </c>
      <c r="U156" s="16" t="e">
        <f aca="false">+T156/M156</f>
        <v>#DIV/0!</v>
      </c>
      <c r="V156" s="18" t="e">
        <f aca="false">+T156*U156</f>
        <v>#DIV/0!</v>
      </c>
    </row>
    <row r="157" customFormat="false" ht="13.8" hidden="false" customHeight="false" outlineLevel="0" collapsed="false">
      <c r="A157" s="0" t="n">
        <f aca="false">+1+A156</f>
        <v>156</v>
      </c>
      <c r="B157" s="1" t="s">
        <v>22</v>
      </c>
      <c r="C157" s="2" t="s">
        <v>23</v>
      </c>
      <c r="D157" s="0" t="s">
        <v>261</v>
      </c>
      <c r="E157" s="1" t="s">
        <v>262</v>
      </c>
      <c r="F157" s="1" t="n">
        <v>3931</v>
      </c>
      <c r="G157" s="1" t="n">
        <v>4</v>
      </c>
      <c r="H157" s="3" t="n">
        <v>0.001</v>
      </c>
      <c r="I157" s="1" t="n">
        <v>0</v>
      </c>
      <c r="K157" s="15"/>
      <c r="L157" s="1" t="n">
        <v>0</v>
      </c>
      <c r="M157" s="5" t="n">
        <v>0</v>
      </c>
      <c r="N157" s="5" t="n">
        <v>1.32</v>
      </c>
      <c r="S157" s="16" t="n">
        <v>0.3</v>
      </c>
      <c r="T157" s="17" t="n">
        <f aca="false">+S157*(M157-J157-N157)</f>
        <v>-0.396</v>
      </c>
      <c r="U157" s="16" t="e">
        <f aca="false">+T157/M157</f>
        <v>#DIV/0!</v>
      </c>
      <c r="V157" s="18" t="e">
        <f aca="false">+T157*U157</f>
        <v>#DIV/0!</v>
      </c>
    </row>
    <row r="158" customFormat="false" ht="13.8" hidden="false" customHeight="false" outlineLevel="0" collapsed="false">
      <c r="A158" s="0" t="n">
        <f aca="false">+1+A157</f>
        <v>157</v>
      </c>
      <c r="B158" s="1" t="s">
        <v>22</v>
      </c>
      <c r="C158" s="2" t="s">
        <v>23</v>
      </c>
      <c r="D158" s="0" t="s">
        <v>263</v>
      </c>
      <c r="E158" s="1" t="s">
        <v>264</v>
      </c>
      <c r="F158" s="1" t="n">
        <v>3703</v>
      </c>
      <c r="G158" s="1" t="n">
        <v>19</v>
      </c>
      <c r="H158" s="3" t="n">
        <v>0.0051</v>
      </c>
      <c r="I158" s="1" t="n">
        <v>1</v>
      </c>
      <c r="J158" s="4" t="n">
        <v>9.2</v>
      </c>
      <c r="K158" s="15" t="n">
        <v>0.0526</v>
      </c>
      <c r="L158" s="1" t="n">
        <v>1</v>
      </c>
      <c r="M158" s="5" t="n">
        <v>65.95</v>
      </c>
      <c r="N158" s="5" t="n">
        <v>9.2</v>
      </c>
      <c r="O158" s="3" t="n">
        <v>0.1395</v>
      </c>
      <c r="S158" s="16" t="n">
        <v>0.3</v>
      </c>
      <c r="T158" s="17" t="n">
        <f aca="false">+S158*(M158-J158-N158)</f>
        <v>14.265</v>
      </c>
      <c r="U158" s="16" t="n">
        <f aca="false">+T158/M158</f>
        <v>0.216300227445034</v>
      </c>
      <c r="V158" s="18" t="n">
        <f aca="false">+T158*U158</f>
        <v>3.08552274450341</v>
      </c>
    </row>
    <row r="159" customFormat="false" ht="13.8" hidden="false" customHeight="false" outlineLevel="0" collapsed="false">
      <c r="A159" s="0" t="n">
        <f aca="false">+1+A158</f>
        <v>158</v>
      </c>
      <c r="B159" s="1" t="s">
        <v>22</v>
      </c>
      <c r="C159" s="2" t="s">
        <v>23</v>
      </c>
      <c r="D159" s="0" t="s">
        <v>265</v>
      </c>
      <c r="E159" s="1" t="s">
        <v>266</v>
      </c>
      <c r="F159" s="1" t="n">
        <v>3523</v>
      </c>
      <c r="G159" s="1" t="n">
        <v>5</v>
      </c>
      <c r="H159" s="3" t="n">
        <v>0.0014</v>
      </c>
      <c r="I159" s="1" t="n">
        <v>0</v>
      </c>
      <c r="K159" s="15"/>
      <c r="L159" s="1" t="n">
        <v>0</v>
      </c>
      <c r="M159" s="5" t="n">
        <v>0</v>
      </c>
      <c r="N159" s="5" t="n">
        <v>0.69</v>
      </c>
      <c r="S159" s="16" t="n">
        <v>0.3</v>
      </c>
      <c r="T159" s="17" t="n">
        <f aca="false">+S159*(M159-J159-N159)</f>
        <v>-0.207</v>
      </c>
      <c r="U159" s="16" t="e">
        <f aca="false">+T159/M159</f>
        <v>#DIV/0!</v>
      </c>
      <c r="V159" s="18" t="e">
        <f aca="false">+T159*U159</f>
        <v>#DIV/0!</v>
      </c>
    </row>
    <row r="160" customFormat="false" ht="13.8" hidden="false" customHeight="false" outlineLevel="0" collapsed="false">
      <c r="A160" s="0" t="n">
        <f aca="false">+1+A159</f>
        <v>159</v>
      </c>
      <c r="B160" s="1" t="s">
        <v>22</v>
      </c>
      <c r="C160" s="2" t="s">
        <v>23</v>
      </c>
      <c r="D160" s="0" t="s">
        <v>267</v>
      </c>
      <c r="E160" s="1" t="s">
        <v>268</v>
      </c>
      <c r="F160" s="1" t="n">
        <v>3288</v>
      </c>
      <c r="G160" s="1" t="n">
        <v>4</v>
      </c>
      <c r="H160" s="3" t="n">
        <v>0.0012</v>
      </c>
      <c r="I160" s="1" t="n">
        <v>0</v>
      </c>
      <c r="K160" s="15"/>
      <c r="L160" s="1" t="n">
        <v>0</v>
      </c>
      <c r="M160" s="5" t="n">
        <v>0</v>
      </c>
      <c r="N160" s="5" t="n">
        <v>3.78</v>
      </c>
      <c r="S160" s="16" t="n">
        <v>0.3</v>
      </c>
      <c r="T160" s="17" t="n">
        <f aca="false">+S160*(M160-J160-N160)</f>
        <v>-1.134</v>
      </c>
      <c r="U160" s="16" t="e">
        <f aca="false">+T160/M160</f>
        <v>#DIV/0!</v>
      </c>
      <c r="V160" s="18" t="e">
        <f aca="false">+T160*U160</f>
        <v>#DIV/0!</v>
      </c>
    </row>
    <row r="161" customFormat="false" ht="13.8" hidden="false" customHeight="false" outlineLevel="0" collapsed="false">
      <c r="A161" s="0" t="n">
        <f aca="false">+1+A160</f>
        <v>160</v>
      </c>
      <c r="B161" s="1" t="s">
        <v>22</v>
      </c>
      <c r="C161" s="2" t="s">
        <v>23</v>
      </c>
      <c r="D161" s="0" t="s">
        <v>269</v>
      </c>
      <c r="E161" s="1" t="s">
        <v>270</v>
      </c>
      <c r="F161" s="1" t="n">
        <v>3089</v>
      </c>
      <c r="G161" s="1" t="n">
        <v>12</v>
      </c>
      <c r="H161" s="3" t="n">
        <v>0.0039</v>
      </c>
      <c r="I161" s="1" t="n">
        <v>0</v>
      </c>
      <c r="K161" s="15"/>
      <c r="L161" s="1" t="n">
        <v>0</v>
      </c>
      <c r="M161" s="5" t="n">
        <v>0</v>
      </c>
      <c r="N161" s="5" t="n">
        <v>3.53</v>
      </c>
      <c r="S161" s="16" t="n">
        <v>0.3</v>
      </c>
      <c r="T161" s="17" t="n">
        <f aca="false">+S161*(M161-J161-N161)</f>
        <v>-1.059</v>
      </c>
      <c r="U161" s="16" t="e">
        <f aca="false">+T161/M161</f>
        <v>#DIV/0!</v>
      </c>
      <c r="V161" s="18" t="e">
        <f aca="false">+T161*U161</f>
        <v>#DIV/0!</v>
      </c>
    </row>
    <row r="162" customFormat="false" ht="13.8" hidden="false" customHeight="false" outlineLevel="0" collapsed="false">
      <c r="A162" s="0" t="n">
        <f aca="false">+1+A161</f>
        <v>161</v>
      </c>
      <c r="B162" s="1" t="s">
        <v>22</v>
      </c>
      <c r="C162" s="2" t="s">
        <v>23</v>
      </c>
      <c r="D162" s="0" t="s">
        <v>271</v>
      </c>
      <c r="E162" s="1" t="s">
        <v>272</v>
      </c>
      <c r="F162" s="1" t="n">
        <v>3072</v>
      </c>
      <c r="G162" s="1" t="n">
        <v>9</v>
      </c>
      <c r="H162" s="3" t="n">
        <v>0.0029</v>
      </c>
      <c r="I162" s="1" t="n">
        <v>0</v>
      </c>
      <c r="K162" s="15"/>
      <c r="L162" s="1" t="n">
        <v>0</v>
      </c>
      <c r="M162" s="5" t="n">
        <v>0</v>
      </c>
      <c r="N162" s="5" t="n">
        <v>11.58</v>
      </c>
      <c r="S162" s="16" t="n">
        <v>0.3</v>
      </c>
      <c r="T162" s="17" t="n">
        <f aca="false">+S162*(M162-J162-N162)</f>
        <v>-3.474</v>
      </c>
      <c r="U162" s="16" t="e">
        <f aca="false">+T162/M162</f>
        <v>#DIV/0!</v>
      </c>
      <c r="V162" s="18" t="e">
        <f aca="false">+T162*U162</f>
        <v>#DIV/0!</v>
      </c>
    </row>
    <row r="163" customFormat="false" ht="13.8" hidden="false" customHeight="false" outlineLevel="0" collapsed="false">
      <c r="A163" s="0" t="n">
        <f aca="false">+1+A162</f>
        <v>162</v>
      </c>
      <c r="B163" s="1" t="s">
        <v>22</v>
      </c>
      <c r="C163" s="2" t="s">
        <v>23</v>
      </c>
      <c r="D163" s="0" t="s">
        <v>273</v>
      </c>
      <c r="E163" s="1" t="s">
        <v>274</v>
      </c>
      <c r="F163" s="1" t="n">
        <v>2983</v>
      </c>
      <c r="G163" s="1" t="n">
        <v>1</v>
      </c>
      <c r="H163" s="3" t="n">
        <v>0.0003</v>
      </c>
      <c r="I163" s="1" t="n">
        <v>0</v>
      </c>
      <c r="K163" s="15"/>
      <c r="L163" s="1" t="n">
        <v>0</v>
      </c>
      <c r="M163" s="5" t="n">
        <v>0</v>
      </c>
      <c r="N163" s="5" t="n">
        <v>0.07</v>
      </c>
      <c r="S163" s="16" t="n">
        <v>0.3</v>
      </c>
      <c r="T163" s="17" t="n">
        <f aca="false">+S163*(M163-J163-N163)</f>
        <v>-0.021</v>
      </c>
      <c r="U163" s="16" t="e">
        <f aca="false">+T163/M163</f>
        <v>#DIV/0!</v>
      </c>
      <c r="V163" s="18" t="e">
        <f aca="false">+T163*U163</f>
        <v>#DIV/0!</v>
      </c>
    </row>
    <row r="164" customFormat="false" ht="13.8" hidden="false" customHeight="false" outlineLevel="0" collapsed="false">
      <c r="A164" s="0" t="n">
        <f aca="false">+1+A163</f>
        <v>163</v>
      </c>
      <c r="B164" s="1" t="s">
        <v>22</v>
      </c>
      <c r="C164" s="2" t="s">
        <v>23</v>
      </c>
      <c r="D164" s="0" t="s">
        <v>275</v>
      </c>
      <c r="E164" s="1" t="s">
        <v>276</v>
      </c>
      <c r="F164" s="1" t="n">
        <v>2911</v>
      </c>
      <c r="G164" s="1" t="n">
        <v>5</v>
      </c>
      <c r="H164" s="3" t="n">
        <v>0.0017</v>
      </c>
      <c r="I164" s="1" t="n">
        <v>0</v>
      </c>
      <c r="K164" s="15"/>
      <c r="L164" s="1" t="n">
        <v>0</v>
      </c>
      <c r="M164" s="5" t="n">
        <v>0</v>
      </c>
      <c r="N164" s="5" t="n">
        <v>7.9</v>
      </c>
      <c r="S164" s="16" t="n">
        <v>0.3</v>
      </c>
      <c r="T164" s="17" t="n">
        <f aca="false">+S164*(M164-J164-N164)</f>
        <v>-2.37</v>
      </c>
      <c r="U164" s="16" t="e">
        <f aca="false">+T164/M164</f>
        <v>#DIV/0!</v>
      </c>
      <c r="V164" s="18" t="e">
        <f aca="false">+T164*U164</f>
        <v>#DIV/0!</v>
      </c>
    </row>
    <row r="165" customFormat="false" ht="13.8" hidden="false" customHeight="false" outlineLevel="0" collapsed="false">
      <c r="A165" s="0" t="n">
        <f aca="false">+1+A164</f>
        <v>164</v>
      </c>
      <c r="B165" s="1" t="s">
        <v>22</v>
      </c>
      <c r="C165" s="2" t="s">
        <v>23</v>
      </c>
      <c r="D165" s="0" t="s">
        <v>277</v>
      </c>
      <c r="E165" s="1" t="s">
        <v>278</v>
      </c>
      <c r="F165" s="1" t="n">
        <v>2874</v>
      </c>
      <c r="G165" s="1" t="n">
        <v>2</v>
      </c>
      <c r="H165" s="3" t="n">
        <v>0.0007</v>
      </c>
      <c r="I165" s="1" t="n">
        <v>0</v>
      </c>
      <c r="K165" s="15"/>
      <c r="L165" s="1" t="n">
        <v>0</v>
      </c>
      <c r="M165" s="5" t="n">
        <v>0</v>
      </c>
      <c r="N165" s="5" t="n">
        <v>0.24</v>
      </c>
      <c r="S165" s="16" t="n">
        <v>0.3</v>
      </c>
      <c r="T165" s="17" t="n">
        <f aca="false">+S165*(M165-J165-N165)</f>
        <v>-0.072</v>
      </c>
      <c r="U165" s="16" t="e">
        <f aca="false">+T165/M165</f>
        <v>#DIV/0!</v>
      </c>
      <c r="V165" s="18" t="e">
        <f aca="false">+T165*U165</f>
        <v>#DIV/0!</v>
      </c>
    </row>
    <row r="166" customFormat="false" ht="13.8" hidden="false" customHeight="false" outlineLevel="0" collapsed="false">
      <c r="A166" s="0" t="n">
        <f aca="false">+1+A165</f>
        <v>165</v>
      </c>
      <c r="B166" s="1" t="s">
        <v>22</v>
      </c>
      <c r="C166" s="2" t="s">
        <v>23</v>
      </c>
      <c r="D166" s="0" t="s">
        <v>279</v>
      </c>
      <c r="E166" s="1" t="s">
        <v>280</v>
      </c>
      <c r="F166" s="1" t="n">
        <v>2819</v>
      </c>
      <c r="G166" s="1" t="n">
        <v>8</v>
      </c>
      <c r="H166" s="3" t="n">
        <v>0.0028</v>
      </c>
      <c r="I166" s="1" t="n">
        <v>0</v>
      </c>
      <c r="K166" s="15"/>
      <c r="L166" s="1" t="n">
        <v>0</v>
      </c>
      <c r="M166" s="5" t="n">
        <v>0</v>
      </c>
      <c r="N166" s="5" t="n">
        <v>1.71</v>
      </c>
      <c r="S166" s="16" t="n">
        <v>0.3</v>
      </c>
      <c r="T166" s="17" t="n">
        <f aca="false">+S166*(M166-J166-N166)</f>
        <v>-0.513</v>
      </c>
      <c r="U166" s="16" t="e">
        <f aca="false">+T166/M166</f>
        <v>#DIV/0!</v>
      </c>
      <c r="V166" s="18" t="e">
        <f aca="false">+T166*U166</f>
        <v>#DIV/0!</v>
      </c>
    </row>
    <row r="167" customFormat="false" ht="13.8" hidden="false" customHeight="false" outlineLevel="0" collapsed="false">
      <c r="A167" s="0" t="n">
        <f aca="false">+1+A166</f>
        <v>166</v>
      </c>
      <c r="B167" s="1" t="s">
        <v>22</v>
      </c>
      <c r="C167" s="2" t="s">
        <v>23</v>
      </c>
      <c r="D167" s="0" t="s">
        <v>281</v>
      </c>
      <c r="E167" s="1" t="s">
        <v>282</v>
      </c>
      <c r="F167" s="1" t="n">
        <v>2784</v>
      </c>
      <c r="G167" s="1" t="n">
        <v>1</v>
      </c>
      <c r="H167" s="3" t="n">
        <v>0.0004</v>
      </c>
      <c r="I167" s="1" t="n">
        <v>0</v>
      </c>
      <c r="K167" s="15"/>
      <c r="L167" s="1" t="n">
        <v>0</v>
      </c>
      <c r="M167" s="5" t="n">
        <v>0</v>
      </c>
      <c r="N167" s="5" t="n">
        <v>0.3</v>
      </c>
      <c r="S167" s="16" t="n">
        <v>0.3</v>
      </c>
      <c r="T167" s="17" t="n">
        <f aca="false">+S167*(M167-J167-N167)</f>
        <v>-0.09</v>
      </c>
      <c r="U167" s="16" t="e">
        <f aca="false">+T167/M167</f>
        <v>#DIV/0!</v>
      </c>
      <c r="V167" s="18" t="e">
        <f aca="false">+T167*U167</f>
        <v>#DIV/0!</v>
      </c>
    </row>
    <row r="168" customFormat="false" ht="13.8" hidden="false" customHeight="false" outlineLevel="0" collapsed="false">
      <c r="A168" s="0" t="n">
        <f aca="false">+1+A167</f>
        <v>167</v>
      </c>
      <c r="B168" s="1" t="s">
        <v>22</v>
      </c>
      <c r="C168" s="2" t="s">
        <v>23</v>
      </c>
      <c r="D168" s="0" t="s">
        <v>283</v>
      </c>
      <c r="E168" s="1" t="s">
        <v>284</v>
      </c>
      <c r="F168" s="1" t="n">
        <v>2687</v>
      </c>
      <c r="G168" s="1" t="n">
        <v>5</v>
      </c>
      <c r="H168" s="3" t="n">
        <v>0.0019</v>
      </c>
      <c r="I168" s="1" t="n">
        <v>0</v>
      </c>
      <c r="K168" s="15"/>
      <c r="L168" s="1" t="n">
        <v>0</v>
      </c>
      <c r="M168" s="5" t="n">
        <v>0</v>
      </c>
      <c r="N168" s="5" t="n">
        <v>4.6</v>
      </c>
      <c r="S168" s="16" t="n">
        <v>0.3</v>
      </c>
      <c r="T168" s="17" t="n">
        <f aca="false">+S168*(M168-J168-N168)</f>
        <v>-1.38</v>
      </c>
      <c r="U168" s="16" t="e">
        <f aca="false">+T168/M168</f>
        <v>#DIV/0!</v>
      </c>
      <c r="V168" s="18" t="e">
        <f aca="false">+T168*U168</f>
        <v>#DIV/0!</v>
      </c>
    </row>
    <row r="169" customFormat="false" ht="13.8" hidden="false" customHeight="false" outlineLevel="0" collapsed="false">
      <c r="A169" s="0" t="n">
        <f aca="false">+1+A168</f>
        <v>168</v>
      </c>
      <c r="B169" s="1" t="s">
        <v>22</v>
      </c>
      <c r="C169" s="2" t="s">
        <v>23</v>
      </c>
      <c r="D169" s="0" t="s">
        <v>285</v>
      </c>
      <c r="E169" s="1" t="s">
        <v>286</v>
      </c>
      <c r="F169" s="1" t="n">
        <v>2615</v>
      </c>
      <c r="G169" s="1" t="n">
        <v>4</v>
      </c>
      <c r="H169" s="3" t="n">
        <v>0.0015</v>
      </c>
      <c r="I169" s="1" t="n">
        <v>1</v>
      </c>
      <c r="J169" s="4" t="n">
        <v>22.27</v>
      </c>
      <c r="K169" s="15" t="n">
        <v>0.25</v>
      </c>
      <c r="L169" s="1" t="n">
        <v>1</v>
      </c>
      <c r="M169" s="5" t="n">
        <v>71.94</v>
      </c>
      <c r="N169" s="5" t="n">
        <v>22.27</v>
      </c>
      <c r="O169" s="3" t="n">
        <v>0.3096</v>
      </c>
      <c r="S169" s="16" t="n">
        <v>0.3</v>
      </c>
      <c r="T169" s="17" t="n">
        <f aca="false">+S169*(M169-J169-N169)</f>
        <v>8.22</v>
      </c>
      <c r="U169" s="16" t="n">
        <f aca="false">+T169/M169</f>
        <v>0.114261884904087</v>
      </c>
      <c r="V169" s="18" t="n">
        <f aca="false">+T169*U169</f>
        <v>0.939232693911593</v>
      </c>
    </row>
    <row r="170" customFormat="false" ht="13.8" hidden="false" customHeight="false" outlineLevel="0" collapsed="false">
      <c r="A170" s="0" t="n">
        <f aca="false">+1+A169</f>
        <v>169</v>
      </c>
      <c r="B170" s="1" t="s">
        <v>22</v>
      </c>
      <c r="C170" s="2" t="s">
        <v>23</v>
      </c>
      <c r="D170" s="0" t="s">
        <v>287</v>
      </c>
      <c r="E170" s="1" t="s">
        <v>288</v>
      </c>
      <c r="F170" s="1" t="n">
        <v>2495</v>
      </c>
      <c r="G170" s="1" t="n">
        <v>20</v>
      </c>
      <c r="H170" s="3" t="n">
        <v>0.008</v>
      </c>
      <c r="I170" s="1" t="n">
        <v>0</v>
      </c>
      <c r="K170" s="15"/>
      <c r="L170" s="1" t="n">
        <v>0</v>
      </c>
      <c r="M170" s="5" t="n">
        <v>0</v>
      </c>
      <c r="N170" s="5" t="n">
        <v>6.63</v>
      </c>
      <c r="S170" s="16" t="n">
        <v>0.3</v>
      </c>
      <c r="T170" s="17" t="n">
        <f aca="false">+S170*(M170-J170-N170)</f>
        <v>-1.989</v>
      </c>
      <c r="U170" s="16" t="e">
        <f aca="false">+T170/M170</f>
        <v>#DIV/0!</v>
      </c>
      <c r="V170" s="18" t="e">
        <f aca="false">+T170*U170</f>
        <v>#DIV/0!</v>
      </c>
    </row>
    <row r="171" customFormat="false" ht="13.8" hidden="false" customHeight="false" outlineLevel="0" collapsed="false">
      <c r="A171" s="0" t="n">
        <f aca="false">+1+A170</f>
        <v>170</v>
      </c>
      <c r="B171" s="1" t="s">
        <v>22</v>
      </c>
      <c r="C171" s="2" t="s">
        <v>23</v>
      </c>
      <c r="D171" s="0" t="s">
        <v>289</v>
      </c>
      <c r="E171" s="1" t="s">
        <v>290</v>
      </c>
      <c r="F171" s="1" t="n">
        <v>2469</v>
      </c>
      <c r="G171" s="1" t="n">
        <v>3</v>
      </c>
      <c r="H171" s="3" t="n">
        <v>0.0012</v>
      </c>
      <c r="I171" s="1" t="n">
        <v>0</v>
      </c>
      <c r="K171" s="15"/>
      <c r="L171" s="1" t="n">
        <v>0</v>
      </c>
      <c r="M171" s="5" t="n">
        <v>0</v>
      </c>
      <c r="N171" s="5" t="n">
        <v>6.45</v>
      </c>
      <c r="S171" s="16" t="n">
        <v>0.3</v>
      </c>
      <c r="T171" s="17" t="n">
        <f aca="false">+S171*(M171-J171-N171)</f>
        <v>-1.935</v>
      </c>
      <c r="U171" s="16" t="e">
        <f aca="false">+T171/M171</f>
        <v>#DIV/0!</v>
      </c>
      <c r="V171" s="18" t="e">
        <f aca="false">+T171*U171</f>
        <v>#DIV/0!</v>
      </c>
    </row>
    <row r="172" customFormat="false" ht="13.8" hidden="false" customHeight="false" outlineLevel="0" collapsed="false">
      <c r="A172" s="0" t="n">
        <f aca="false">+1+A171</f>
        <v>171</v>
      </c>
      <c r="B172" s="1" t="s">
        <v>22</v>
      </c>
      <c r="C172" s="2" t="s">
        <v>23</v>
      </c>
      <c r="D172" s="0" t="s">
        <v>291</v>
      </c>
      <c r="E172" s="1" t="s">
        <v>292</v>
      </c>
      <c r="F172" s="1" t="n">
        <v>2434</v>
      </c>
      <c r="G172" s="1" t="n">
        <v>1</v>
      </c>
      <c r="H172" s="3" t="n">
        <v>0.0004</v>
      </c>
      <c r="I172" s="1" t="n">
        <v>0</v>
      </c>
      <c r="K172" s="15"/>
      <c r="L172" s="1" t="n">
        <v>0</v>
      </c>
      <c r="M172" s="5" t="n">
        <v>0</v>
      </c>
      <c r="N172" s="5" t="n">
        <v>2.82</v>
      </c>
      <c r="S172" s="16" t="n">
        <v>0.3</v>
      </c>
      <c r="T172" s="17" t="n">
        <f aca="false">+S172*(M172-J172-N172)</f>
        <v>-0.846</v>
      </c>
      <c r="U172" s="16" t="e">
        <f aca="false">+T172/M172</f>
        <v>#DIV/0!</v>
      </c>
      <c r="V172" s="18" t="e">
        <f aca="false">+T172*U172</f>
        <v>#DIV/0!</v>
      </c>
    </row>
    <row r="173" customFormat="false" ht="13.8" hidden="false" customHeight="false" outlineLevel="0" collapsed="false">
      <c r="A173" s="0" t="n">
        <f aca="false">+1+A172</f>
        <v>172</v>
      </c>
      <c r="B173" s="1" t="s">
        <v>22</v>
      </c>
      <c r="C173" s="2" t="s">
        <v>23</v>
      </c>
      <c r="D173" s="0" t="s">
        <v>293</v>
      </c>
      <c r="E173" s="1" t="s">
        <v>294</v>
      </c>
      <c r="F173" s="1" t="n">
        <v>2415</v>
      </c>
      <c r="G173" s="1" t="n">
        <v>8</v>
      </c>
      <c r="H173" s="3" t="n">
        <v>0.0033</v>
      </c>
      <c r="I173" s="1" t="n">
        <v>1</v>
      </c>
      <c r="J173" s="4" t="n">
        <v>2.55</v>
      </c>
      <c r="K173" s="15" t="n">
        <v>0.125</v>
      </c>
      <c r="L173" s="1" t="n">
        <v>1</v>
      </c>
      <c r="M173" s="5" t="n">
        <v>55.45</v>
      </c>
      <c r="N173" s="5" t="n">
        <v>2.55</v>
      </c>
      <c r="O173" s="3" t="n">
        <v>0.046</v>
      </c>
      <c r="S173" s="16" t="n">
        <v>0.3</v>
      </c>
      <c r="T173" s="17" t="n">
        <f aca="false">+S173*(M173-J173-N173)</f>
        <v>15.105</v>
      </c>
      <c r="U173" s="16" t="n">
        <f aca="false">+T173/M173</f>
        <v>0.272407574391344</v>
      </c>
      <c r="V173" s="18" t="n">
        <f aca="false">+T173*U173</f>
        <v>4.11471641118125</v>
      </c>
    </row>
    <row r="174" customFormat="false" ht="13.8" hidden="false" customHeight="false" outlineLevel="0" collapsed="false">
      <c r="A174" s="0" t="n">
        <f aca="false">+1+A173</f>
        <v>173</v>
      </c>
      <c r="B174" s="1" t="s">
        <v>22</v>
      </c>
      <c r="C174" s="2" t="s">
        <v>23</v>
      </c>
      <c r="D174" s="0" t="s">
        <v>295</v>
      </c>
      <c r="E174" s="1" t="s">
        <v>296</v>
      </c>
      <c r="F174" s="1" t="n">
        <v>2415</v>
      </c>
      <c r="G174" s="1" t="n">
        <v>8</v>
      </c>
      <c r="H174" s="3" t="n">
        <v>0.0033</v>
      </c>
      <c r="I174" s="1" t="n">
        <v>0</v>
      </c>
      <c r="K174" s="15"/>
      <c r="L174" s="1" t="n">
        <v>0</v>
      </c>
      <c r="M174" s="5" t="n">
        <v>0</v>
      </c>
      <c r="N174" s="5" t="n">
        <v>2.47</v>
      </c>
      <c r="S174" s="16" t="n">
        <v>0.3</v>
      </c>
      <c r="T174" s="17" t="n">
        <f aca="false">+S174*(M174-J174-N174)</f>
        <v>-0.741</v>
      </c>
      <c r="U174" s="16" t="e">
        <f aca="false">+T174/M174</f>
        <v>#DIV/0!</v>
      </c>
      <c r="V174" s="18" t="e">
        <f aca="false">+T174*U174</f>
        <v>#DIV/0!</v>
      </c>
    </row>
    <row r="175" customFormat="false" ht="13.8" hidden="false" customHeight="false" outlineLevel="0" collapsed="false">
      <c r="A175" s="0" t="n">
        <f aca="false">+1+A174</f>
        <v>174</v>
      </c>
      <c r="B175" s="1" t="s">
        <v>22</v>
      </c>
      <c r="C175" s="2" t="s">
        <v>23</v>
      </c>
      <c r="D175" s="0" t="s">
        <v>297</v>
      </c>
      <c r="E175" s="1" t="s">
        <v>298</v>
      </c>
      <c r="F175" s="1" t="n">
        <v>2358</v>
      </c>
      <c r="G175" s="1" t="n">
        <v>4</v>
      </c>
      <c r="H175" s="3" t="n">
        <v>0.0017</v>
      </c>
      <c r="I175" s="1" t="n">
        <v>0</v>
      </c>
      <c r="K175" s="15"/>
      <c r="L175" s="1" t="n">
        <v>0</v>
      </c>
      <c r="M175" s="5" t="n">
        <v>0</v>
      </c>
      <c r="N175" s="5" t="n">
        <v>1.67</v>
      </c>
      <c r="S175" s="16" t="n">
        <v>0.3</v>
      </c>
      <c r="T175" s="17" t="n">
        <f aca="false">+S175*(M175-J175-N175)</f>
        <v>-0.501</v>
      </c>
      <c r="U175" s="16" t="e">
        <f aca="false">+T175/M175</f>
        <v>#DIV/0!</v>
      </c>
      <c r="V175" s="18" t="e">
        <f aca="false">+T175*U175</f>
        <v>#DIV/0!</v>
      </c>
    </row>
    <row r="176" customFormat="false" ht="13.8" hidden="false" customHeight="false" outlineLevel="0" collapsed="false">
      <c r="A176" s="0" t="n">
        <f aca="false">+1+A175</f>
        <v>175</v>
      </c>
      <c r="B176" s="1" t="s">
        <v>22</v>
      </c>
      <c r="C176" s="2" t="s">
        <v>23</v>
      </c>
      <c r="D176" s="0" t="s">
        <v>299</v>
      </c>
      <c r="E176" s="1" t="s">
        <v>300</v>
      </c>
      <c r="F176" s="1" t="n">
        <v>2327</v>
      </c>
      <c r="G176" s="1" t="n">
        <v>9</v>
      </c>
      <c r="H176" s="3" t="n">
        <v>0.0039</v>
      </c>
      <c r="I176" s="1" t="n">
        <v>0</v>
      </c>
      <c r="K176" s="15"/>
      <c r="L176" s="1" t="n">
        <v>0</v>
      </c>
      <c r="M176" s="5" t="n">
        <v>0</v>
      </c>
      <c r="N176" s="5" t="n">
        <v>9.39</v>
      </c>
      <c r="S176" s="16" t="n">
        <v>0.3</v>
      </c>
      <c r="T176" s="17" t="n">
        <f aca="false">+S176*(M176-J176-N176)</f>
        <v>-2.817</v>
      </c>
      <c r="U176" s="16" t="e">
        <f aca="false">+T176/M176</f>
        <v>#DIV/0!</v>
      </c>
      <c r="V176" s="18" t="e">
        <f aca="false">+T176*U176</f>
        <v>#DIV/0!</v>
      </c>
    </row>
    <row r="177" customFormat="false" ht="13.8" hidden="false" customHeight="false" outlineLevel="0" collapsed="false">
      <c r="A177" s="0" t="n">
        <f aca="false">+1+A176</f>
        <v>176</v>
      </c>
      <c r="B177" s="1" t="s">
        <v>22</v>
      </c>
      <c r="C177" s="2" t="s">
        <v>23</v>
      </c>
      <c r="D177" s="0" t="s">
        <v>301</v>
      </c>
      <c r="E177" s="1" t="s">
        <v>302</v>
      </c>
      <c r="F177" s="1" t="n">
        <v>2200</v>
      </c>
      <c r="G177" s="1" t="n">
        <v>17</v>
      </c>
      <c r="H177" s="3" t="n">
        <v>0.0077</v>
      </c>
      <c r="I177" s="1" t="n">
        <v>1</v>
      </c>
      <c r="J177" s="4" t="n">
        <v>14.03</v>
      </c>
      <c r="K177" s="15" t="n">
        <v>0.0588</v>
      </c>
      <c r="L177" s="1" t="n">
        <v>1</v>
      </c>
      <c r="M177" s="5" t="n">
        <v>69.27</v>
      </c>
      <c r="N177" s="5" t="n">
        <v>14.03</v>
      </c>
      <c r="O177" s="3" t="n">
        <v>0.2025</v>
      </c>
      <c r="S177" s="16" t="n">
        <v>0.3</v>
      </c>
      <c r="T177" s="17" t="n">
        <f aca="false">+S177*(M177-J177-N177)</f>
        <v>12.363</v>
      </c>
      <c r="U177" s="16" t="n">
        <f aca="false">+T177/M177</f>
        <v>0.178475530532698</v>
      </c>
      <c r="V177" s="18" t="n">
        <f aca="false">+T177*U177</f>
        <v>2.20649298397575</v>
      </c>
    </row>
    <row r="178" customFormat="false" ht="13.8" hidden="false" customHeight="false" outlineLevel="0" collapsed="false">
      <c r="A178" s="0" t="n">
        <f aca="false">+1+A177</f>
        <v>177</v>
      </c>
      <c r="B178" s="1" t="s">
        <v>22</v>
      </c>
      <c r="C178" s="2" t="s">
        <v>23</v>
      </c>
      <c r="D178" s="0" t="s">
        <v>303</v>
      </c>
      <c r="E178" s="1" t="s">
        <v>304</v>
      </c>
      <c r="F178" s="1" t="n">
        <v>2157</v>
      </c>
      <c r="G178" s="1" t="n">
        <v>4</v>
      </c>
      <c r="H178" s="3" t="n">
        <v>0.0019</v>
      </c>
      <c r="I178" s="1" t="n">
        <v>0</v>
      </c>
      <c r="K178" s="15"/>
      <c r="L178" s="1" t="n">
        <v>0</v>
      </c>
      <c r="M178" s="5" t="n">
        <v>0</v>
      </c>
      <c r="N178" s="5" t="n">
        <v>6.71</v>
      </c>
      <c r="S178" s="16" t="n">
        <v>0.3</v>
      </c>
      <c r="T178" s="17" t="n">
        <f aca="false">+S178*(M178-J178-N178)</f>
        <v>-2.013</v>
      </c>
      <c r="U178" s="16" t="e">
        <f aca="false">+T178/M178</f>
        <v>#DIV/0!</v>
      </c>
      <c r="V178" s="18" t="e">
        <f aca="false">+T178*U178</f>
        <v>#DIV/0!</v>
      </c>
    </row>
    <row r="179" customFormat="false" ht="13.8" hidden="false" customHeight="false" outlineLevel="0" collapsed="false">
      <c r="A179" s="0" t="n">
        <f aca="false">+1+A178</f>
        <v>178</v>
      </c>
      <c r="B179" s="1" t="s">
        <v>22</v>
      </c>
      <c r="C179" s="2" t="s">
        <v>23</v>
      </c>
      <c r="D179" s="0" t="s">
        <v>305</v>
      </c>
      <c r="E179" s="1" t="s">
        <v>306</v>
      </c>
      <c r="F179" s="1" t="n">
        <v>2097</v>
      </c>
      <c r="G179" s="1" t="n">
        <v>8</v>
      </c>
      <c r="H179" s="3" t="n">
        <v>0.0038</v>
      </c>
      <c r="I179" s="1" t="n">
        <v>1</v>
      </c>
      <c r="J179" s="4" t="n">
        <v>14.63</v>
      </c>
      <c r="K179" s="15" t="n">
        <v>0.125</v>
      </c>
      <c r="L179" s="1" t="n">
        <v>1</v>
      </c>
      <c r="M179" s="5" t="n">
        <v>73.05</v>
      </c>
      <c r="N179" s="5" t="n">
        <v>14.63</v>
      </c>
      <c r="O179" s="3" t="n">
        <v>0.2003</v>
      </c>
      <c r="S179" s="16" t="n">
        <v>0.3</v>
      </c>
      <c r="T179" s="17" t="n">
        <f aca="false">+S179*(M179-J179-N179)</f>
        <v>13.137</v>
      </c>
      <c r="U179" s="16" t="n">
        <f aca="false">+T179/M179</f>
        <v>0.179835728952772</v>
      </c>
      <c r="V179" s="18" t="n">
        <f aca="false">+T179*U179</f>
        <v>2.36250197125257</v>
      </c>
    </row>
    <row r="180" customFormat="false" ht="13.8" hidden="false" customHeight="false" outlineLevel="0" collapsed="false">
      <c r="A180" s="0" t="n">
        <f aca="false">+1+A179</f>
        <v>179</v>
      </c>
      <c r="B180" s="1" t="s">
        <v>22</v>
      </c>
      <c r="C180" s="2" t="s">
        <v>23</v>
      </c>
      <c r="D180" s="0" t="s">
        <v>143</v>
      </c>
      <c r="E180" s="1" t="s">
        <v>144</v>
      </c>
      <c r="F180" s="1" t="n">
        <v>2030</v>
      </c>
      <c r="G180" s="1" t="n">
        <v>4</v>
      </c>
      <c r="H180" s="3" t="n">
        <v>0.002</v>
      </c>
      <c r="I180" s="1" t="n">
        <v>1</v>
      </c>
      <c r="J180" s="4" t="n">
        <v>1.19</v>
      </c>
      <c r="K180" s="15" t="n">
        <v>0.25</v>
      </c>
      <c r="L180" s="1" t="n">
        <v>1</v>
      </c>
      <c r="M180" s="5" t="n">
        <v>36.76</v>
      </c>
      <c r="N180" s="5" t="n">
        <v>1.19</v>
      </c>
      <c r="O180" s="3" t="n">
        <v>0.0324</v>
      </c>
      <c r="S180" s="16" t="n">
        <v>0.3</v>
      </c>
      <c r="T180" s="17" t="n">
        <f aca="false">+S180*(M180-J180-N180)</f>
        <v>10.314</v>
      </c>
      <c r="U180" s="16" t="n">
        <f aca="false">+T180/M180</f>
        <v>0.280576713819369</v>
      </c>
      <c r="V180" s="18" t="n">
        <f aca="false">+T180*U180</f>
        <v>2.89386822633297</v>
      </c>
    </row>
    <row r="181" customFormat="false" ht="13.8" hidden="false" customHeight="false" outlineLevel="0" collapsed="false">
      <c r="A181" s="0" t="n">
        <f aca="false">+1+A180</f>
        <v>180</v>
      </c>
      <c r="B181" s="1" t="s">
        <v>22</v>
      </c>
      <c r="C181" s="2" t="s">
        <v>23</v>
      </c>
      <c r="D181" s="0" t="s">
        <v>307</v>
      </c>
      <c r="E181" s="1" t="s">
        <v>308</v>
      </c>
      <c r="F181" s="1" t="n">
        <v>2007</v>
      </c>
      <c r="G181" s="1" t="n">
        <v>0</v>
      </c>
      <c r="I181" s="1" t="n">
        <v>0</v>
      </c>
      <c r="K181" s="15"/>
      <c r="L181" s="1" t="n">
        <v>0</v>
      </c>
      <c r="M181" s="5" t="n">
        <v>0</v>
      </c>
      <c r="N181" s="5" t="n">
        <v>0</v>
      </c>
      <c r="S181" s="16" t="n">
        <v>0.3</v>
      </c>
      <c r="T181" s="17" t="n">
        <f aca="false">+S181*(M181-J181-N181)</f>
        <v>0</v>
      </c>
      <c r="U181" s="16" t="e">
        <f aca="false">+T181/M181</f>
        <v>#DIV/0!</v>
      </c>
      <c r="V181" s="18" t="e">
        <f aca="false">+T181*U181</f>
        <v>#DIV/0!</v>
      </c>
    </row>
    <row r="182" customFormat="false" ht="13.8" hidden="false" customHeight="false" outlineLevel="0" collapsed="false">
      <c r="A182" s="0" t="n">
        <f aca="false">+1+A181</f>
        <v>181</v>
      </c>
      <c r="B182" s="1" t="s">
        <v>22</v>
      </c>
      <c r="C182" s="2" t="s">
        <v>23</v>
      </c>
      <c r="D182" s="0" t="s">
        <v>309</v>
      </c>
      <c r="E182" s="1" t="s">
        <v>310</v>
      </c>
      <c r="F182" s="1" t="n">
        <v>1899</v>
      </c>
      <c r="G182" s="1" t="n">
        <v>0</v>
      </c>
      <c r="I182" s="1" t="n">
        <v>0</v>
      </c>
      <c r="K182" s="15"/>
      <c r="L182" s="1" t="n">
        <v>0</v>
      </c>
      <c r="M182" s="5" t="n">
        <v>0</v>
      </c>
      <c r="N182" s="5" t="n">
        <v>0</v>
      </c>
      <c r="S182" s="16" t="n">
        <v>0.3</v>
      </c>
      <c r="T182" s="17" t="n">
        <f aca="false">+S182*(M182-J182-N182)</f>
        <v>0</v>
      </c>
      <c r="U182" s="16" t="e">
        <f aca="false">+T182/M182</f>
        <v>#DIV/0!</v>
      </c>
      <c r="V182" s="18" t="e">
        <f aca="false">+T182*U182</f>
        <v>#DIV/0!</v>
      </c>
    </row>
    <row r="183" customFormat="false" ht="13.8" hidden="false" customHeight="false" outlineLevel="0" collapsed="false">
      <c r="A183" s="0" t="n">
        <f aca="false">+1+A182</f>
        <v>182</v>
      </c>
      <c r="B183" s="1" t="s">
        <v>22</v>
      </c>
      <c r="C183" s="2" t="s">
        <v>23</v>
      </c>
      <c r="D183" s="0" t="s">
        <v>311</v>
      </c>
      <c r="E183" s="1" t="s">
        <v>312</v>
      </c>
      <c r="F183" s="1" t="n">
        <v>1849</v>
      </c>
      <c r="G183" s="1" t="n">
        <v>0</v>
      </c>
      <c r="I183" s="1" t="n">
        <v>0</v>
      </c>
      <c r="K183" s="15"/>
      <c r="L183" s="1" t="n">
        <v>0</v>
      </c>
      <c r="M183" s="5" t="n">
        <v>0</v>
      </c>
      <c r="N183" s="5" t="n">
        <v>0</v>
      </c>
      <c r="S183" s="16" t="n">
        <v>0.3</v>
      </c>
      <c r="T183" s="17" t="n">
        <f aca="false">+S183*(M183-J183-N183)</f>
        <v>0</v>
      </c>
      <c r="U183" s="16" t="e">
        <f aca="false">+T183/M183</f>
        <v>#DIV/0!</v>
      </c>
      <c r="V183" s="18" t="e">
        <f aca="false">+T183*U183</f>
        <v>#DIV/0!</v>
      </c>
    </row>
    <row r="184" customFormat="false" ht="13.8" hidden="false" customHeight="false" outlineLevel="0" collapsed="false">
      <c r="A184" s="0" t="n">
        <f aca="false">+1+A183</f>
        <v>183</v>
      </c>
      <c r="B184" s="1" t="s">
        <v>22</v>
      </c>
      <c r="C184" s="2" t="s">
        <v>23</v>
      </c>
      <c r="D184" s="0" t="s">
        <v>313</v>
      </c>
      <c r="E184" s="1" t="s">
        <v>314</v>
      </c>
      <c r="F184" s="1" t="n">
        <v>1765</v>
      </c>
      <c r="G184" s="1" t="n">
        <v>10</v>
      </c>
      <c r="H184" s="3" t="n">
        <v>0.0057</v>
      </c>
      <c r="I184" s="1" t="n">
        <v>0</v>
      </c>
      <c r="K184" s="15"/>
      <c r="L184" s="1" t="n">
        <v>0</v>
      </c>
      <c r="M184" s="5" t="n">
        <v>0</v>
      </c>
      <c r="N184" s="5" t="n">
        <v>2.32</v>
      </c>
      <c r="S184" s="16" t="n">
        <v>0.3</v>
      </c>
      <c r="T184" s="17" t="n">
        <f aca="false">+S184*(M184-J184-N184)</f>
        <v>-0.696</v>
      </c>
      <c r="U184" s="16" t="e">
        <f aca="false">+T184/M184</f>
        <v>#DIV/0!</v>
      </c>
      <c r="V184" s="18" t="e">
        <f aca="false">+T184*U184</f>
        <v>#DIV/0!</v>
      </c>
    </row>
    <row r="185" customFormat="false" ht="13.8" hidden="false" customHeight="false" outlineLevel="0" collapsed="false">
      <c r="A185" s="0" t="n">
        <f aca="false">+1+A184</f>
        <v>184</v>
      </c>
      <c r="B185" s="1" t="s">
        <v>22</v>
      </c>
      <c r="C185" s="2" t="s">
        <v>23</v>
      </c>
      <c r="D185" s="0" t="s">
        <v>315</v>
      </c>
      <c r="E185" s="1" t="s">
        <v>316</v>
      </c>
      <c r="F185" s="1" t="n">
        <v>1746</v>
      </c>
      <c r="G185" s="1" t="n">
        <v>3</v>
      </c>
      <c r="H185" s="3" t="n">
        <v>0.0017</v>
      </c>
      <c r="I185" s="1" t="n">
        <v>0</v>
      </c>
      <c r="K185" s="15"/>
      <c r="L185" s="1" t="n">
        <v>0</v>
      </c>
      <c r="M185" s="5" t="n">
        <v>0</v>
      </c>
      <c r="N185" s="5" t="n">
        <v>0.83</v>
      </c>
      <c r="S185" s="16" t="n">
        <v>0.3</v>
      </c>
      <c r="T185" s="17" t="n">
        <f aca="false">+S185*(M185-J185-N185)</f>
        <v>-0.249</v>
      </c>
      <c r="U185" s="16" t="e">
        <f aca="false">+T185/M185</f>
        <v>#DIV/0!</v>
      </c>
      <c r="V185" s="18" t="e">
        <f aca="false">+T185*U185</f>
        <v>#DIV/0!</v>
      </c>
    </row>
    <row r="186" customFormat="false" ht="13.8" hidden="false" customHeight="false" outlineLevel="0" collapsed="false">
      <c r="A186" s="0" t="n">
        <f aca="false">+1+A185</f>
        <v>185</v>
      </c>
      <c r="B186" s="1" t="s">
        <v>22</v>
      </c>
      <c r="C186" s="2" t="s">
        <v>23</v>
      </c>
      <c r="D186" s="0" t="s">
        <v>317</v>
      </c>
      <c r="E186" s="1" t="s">
        <v>318</v>
      </c>
      <c r="F186" s="1" t="n">
        <v>1698</v>
      </c>
      <c r="G186" s="1" t="n">
        <v>21</v>
      </c>
      <c r="H186" s="3" t="n">
        <v>0.0124</v>
      </c>
      <c r="I186" s="1" t="n">
        <v>10</v>
      </c>
      <c r="J186" s="4" t="n">
        <v>5.843</v>
      </c>
      <c r="K186" s="15" t="n">
        <v>0.4762</v>
      </c>
      <c r="L186" s="1" t="n">
        <v>10</v>
      </c>
      <c r="M186" s="5" t="n">
        <v>749.5</v>
      </c>
      <c r="N186" s="5" t="n">
        <v>58.43</v>
      </c>
      <c r="O186" s="3" t="n">
        <v>0.078</v>
      </c>
      <c r="S186" s="16" t="n">
        <v>0.3</v>
      </c>
      <c r="T186" s="17" t="n">
        <f aca="false">+S186*(M186-J186-N186)</f>
        <v>205.5681</v>
      </c>
      <c r="U186" s="16" t="n">
        <f aca="false">+T186/M186</f>
        <v>0.2742736490994</v>
      </c>
      <c r="V186" s="18" t="n">
        <f aca="false">+T186*U186</f>
        <v>56.3819129254303</v>
      </c>
    </row>
    <row r="187" customFormat="false" ht="13.8" hidden="false" customHeight="false" outlineLevel="0" collapsed="false">
      <c r="A187" s="0" t="n">
        <f aca="false">+1+A186</f>
        <v>186</v>
      </c>
      <c r="B187" s="1" t="s">
        <v>22</v>
      </c>
      <c r="C187" s="2" t="s">
        <v>23</v>
      </c>
      <c r="D187" s="0" t="s">
        <v>319</v>
      </c>
      <c r="E187" s="1" t="s">
        <v>320</v>
      </c>
      <c r="F187" s="1" t="n">
        <v>1681</v>
      </c>
      <c r="G187" s="1" t="n">
        <v>18</v>
      </c>
      <c r="H187" s="3" t="n">
        <v>0.0107</v>
      </c>
      <c r="I187" s="1" t="n">
        <v>1</v>
      </c>
      <c r="J187" s="4" t="n">
        <v>56.89</v>
      </c>
      <c r="K187" s="15" t="n">
        <v>0.0556</v>
      </c>
      <c r="L187" s="1" t="n">
        <v>1</v>
      </c>
      <c r="M187" s="5" t="n">
        <v>561.35</v>
      </c>
      <c r="N187" s="5" t="n">
        <v>56.89</v>
      </c>
      <c r="O187" s="3" t="n">
        <v>0.1013</v>
      </c>
      <c r="S187" s="16" t="n">
        <v>0.3</v>
      </c>
      <c r="T187" s="17" t="n">
        <f aca="false">+S187*(M187-J187-N187)</f>
        <v>134.271</v>
      </c>
      <c r="U187" s="16" t="n">
        <f aca="false">+T187/M187</f>
        <v>0.239193016834417</v>
      </c>
      <c r="V187" s="18" t="n">
        <f aca="false">+T187*U187</f>
        <v>32.116685563374</v>
      </c>
    </row>
    <row r="188" customFormat="false" ht="13.8" hidden="false" customHeight="false" outlineLevel="0" collapsed="false">
      <c r="A188" s="0" t="n">
        <f aca="false">+1+A187</f>
        <v>187</v>
      </c>
      <c r="B188" s="1" t="s">
        <v>22</v>
      </c>
      <c r="C188" s="2" t="s">
        <v>23</v>
      </c>
      <c r="D188" s="0" t="s">
        <v>321</v>
      </c>
      <c r="E188" s="1" t="s">
        <v>322</v>
      </c>
      <c r="F188" s="1" t="n">
        <v>1660</v>
      </c>
      <c r="G188" s="1" t="n">
        <v>4</v>
      </c>
      <c r="H188" s="3" t="n">
        <v>0.0024</v>
      </c>
      <c r="I188" s="1" t="n">
        <v>0</v>
      </c>
      <c r="K188" s="15"/>
      <c r="L188" s="1" t="n">
        <v>0</v>
      </c>
      <c r="M188" s="5" t="n">
        <v>0</v>
      </c>
      <c r="N188" s="5" t="n">
        <v>1.1</v>
      </c>
      <c r="S188" s="16" t="n">
        <v>0.3</v>
      </c>
      <c r="T188" s="17" t="n">
        <f aca="false">+S188*(M188-J188-N188)</f>
        <v>-0.33</v>
      </c>
      <c r="U188" s="16" t="e">
        <f aca="false">+T188/M188</f>
        <v>#DIV/0!</v>
      </c>
      <c r="V188" s="18" t="e">
        <f aca="false">+T188*U188</f>
        <v>#DIV/0!</v>
      </c>
    </row>
    <row r="189" customFormat="false" ht="13.8" hidden="false" customHeight="false" outlineLevel="0" collapsed="false">
      <c r="A189" s="0" t="n">
        <f aca="false">+1+A188</f>
        <v>188</v>
      </c>
      <c r="B189" s="1" t="s">
        <v>22</v>
      </c>
      <c r="C189" s="2" t="s">
        <v>23</v>
      </c>
      <c r="D189" s="0" t="s">
        <v>323</v>
      </c>
      <c r="E189" s="1" t="s">
        <v>324</v>
      </c>
      <c r="F189" s="1" t="n">
        <v>1623</v>
      </c>
      <c r="G189" s="1" t="n">
        <v>12</v>
      </c>
      <c r="H189" s="3" t="n">
        <v>0.0074</v>
      </c>
      <c r="I189" s="1" t="n">
        <v>1</v>
      </c>
      <c r="J189" s="4" t="n">
        <v>12.07</v>
      </c>
      <c r="K189" s="15" t="n">
        <v>0.0833</v>
      </c>
      <c r="L189" s="1" t="n">
        <v>1</v>
      </c>
      <c r="M189" s="5" t="n">
        <v>152.9</v>
      </c>
      <c r="N189" s="5" t="n">
        <v>12.07</v>
      </c>
      <c r="O189" s="3" t="n">
        <v>0.0789</v>
      </c>
      <c r="S189" s="16" t="n">
        <v>0.3</v>
      </c>
      <c r="T189" s="17" t="n">
        <f aca="false">+S189*(M189-J189-N189)</f>
        <v>38.628</v>
      </c>
      <c r="U189" s="16" t="n">
        <f aca="false">+T189/M189</f>
        <v>0.252635709614127</v>
      </c>
      <c r="V189" s="18" t="n">
        <f aca="false">+T189*U189</f>
        <v>9.7588121909745</v>
      </c>
    </row>
    <row r="190" customFormat="false" ht="13.8" hidden="false" customHeight="false" outlineLevel="0" collapsed="false">
      <c r="A190" s="0" t="n">
        <f aca="false">+1+A189</f>
        <v>189</v>
      </c>
      <c r="B190" s="1" t="s">
        <v>22</v>
      </c>
      <c r="C190" s="2" t="s">
        <v>23</v>
      </c>
      <c r="D190" s="0" t="s">
        <v>325</v>
      </c>
      <c r="E190" s="1" t="s">
        <v>326</v>
      </c>
      <c r="F190" s="1" t="n">
        <v>1487</v>
      </c>
      <c r="G190" s="1" t="n">
        <v>24</v>
      </c>
      <c r="H190" s="3" t="n">
        <v>0.0161</v>
      </c>
      <c r="I190" s="1" t="n">
        <v>1</v>
      </c>
      <c r="J190" s="4" t="n">
        <v>14.14</v>
      </c>
      <c r="K190" s="15" t="n">
        <v>0.0417</v>
      </c>
      <c r="L190" s="1" t="n">
        <v>1</v>
      </c>
      <c r="M190" s="5" t="n">
        <v>39.8</v>
      </c>
      <c r="N190" s="5" t="n">
        <v>14.14</v>
      </c>
      <c r="O190" s="3" t="n">
        <v>0.3553</v>
      </c>
      <c r="S190" s="16" t="n">
        <v>0.3</v>
      </c>
      <c r="T190" s="17" t="n">
        <f aca="false">+S190*(M190-J190-N190)</f>
        <v>3.456</v>
      </c>
      <c r="U190" s="16" t="n">
        <f aca="false">+T190/M190</f>
        <v>0.0868341708542713</v>
      </c>
      <c r="V190" s="18" t="n">
        <f aca="false">+T190*U190</f>
        <v>0.300098894472362</v>
      </c>
    </row>
    <row r="191" customFormat="false" ht="13.8" hidden="false" customHeight="false" outlineLevel="0" collapsed="false">
      <c r="A191" s="0" t="n">
        <f aca="false">+1+A190</f>
        <v>190</v>
      </c>
      <c r="B191" s="1" t="s">
        <v>22</v>
      </c>
      <c r="C191" s="2" t="s">
        <v>23</v>
      </c>
      <c r="D191" s="0" t="s">
        <v>327</v>
      </c>
      <c r="E191" s="1" t="s">
        <v>328</v>
      </c>
      <c r="F191" s="1" t="n">
        <v>1480</v>
      </c>
      <c r="G191" s="1" t="n">
        <v>4</v>
      </c>
      <c r="H191" s="3" t="n">
        <v>0.0027</v>
      </c>
      <c r="I191" s="1" t="n">
        <v>0</v>
      </c>
      <c r="K191" s="15"/>
      <c r="L191" s="1" t="n">
        <v>0</v>
      </c>
      <c r="M191" s="5" t="n">
        <v>0</v>
      </c>
      <c r="N191" s="5" t="n">
        <v>2.63</v>
      </c>
      <c r="S191" s="16" t="n">
        <v>0.3</v>
      </c>
      <c r="T191" s="17" t="n">
        <f aca="false">+S191*(M191-J191-N191)</f>
        <v>-0.789</v>
      </c>
      <c r="U191" s="16" t="e">
        <f aca="false">+T191/M191</f>
        <v>#DIV/0!</v>
      </c>
      <c r="V191" s="18" t="e">
        <f aca="false">+T191*U191</f>
        <v>#DIV/0!</v>
      </c>
    </row>
    <row r="192" customFormat="false" ht="13.8" hidden="false" customHeight="false" outlineLevel="0" collapsed="false">
      <c r="A192" s="0" t="n">
        <f aca="false">+1+A191</f>
        <v>191</v>
      </c>
      <c r="B192" s="1" t="s">
        <v>22</v>
      </c>
      <c r="C192" s="2" t="s">
        <v>23</v>
      </c>
      <c r="D192" s="0" t="s">
        <v>329</v>
      </c>
      <c r="E192" s="1" t="s">
        <v>330</v>
      </c>
      <c r="F192" s="1" t="n">
        <v>1327</v>
      </c>
      <c r="G192" s="1" t="n">
        <v>19</v>
      </c>
      <c r="H192" s="3" t="n">
        <v>0.0143</v>
      </c>
      <c r="I192" s="1" t="n">
        <v>1</v>
      </c>
      <c r="J192" s="4" t="n">
        <v>9.09</v>
      </c>
      <c r="K192" s="15" t="n">
        <v>0.0526</v>
      </c>
      <c r="L192" s="1" t="n">
        <v>1</v>
      </c>
      <c r="M192" s="5" t="n">
        <v>36</v>
      </c>
      <c r="N192" s="5" t="n">
        <v>9.09</v>
      </c>
      <c r="O192" s="3" t="n">
        <v>0.2525</v>
      </c>
      <c r="S192" s="16" t="n">
        <v>0.3</v>
      </c>
      <c r="T192" s="17" t="n">
        <f aca="false">+S192*(M192-J192-N192)</f>
        <v>5.346</v>
      </c>
      <c r="U192" s="16" t="n">
        <f aca="false">+T192/M192</f>
        <v>0.1485</v>
      </c>
      <c r="V192" s="18" t="n">
        <f aca="false">+T192*U192</f>
        <v>0.793881</v>
      </c>
    </row>
    <row r="193" customFormat="false" ht="13.8" hidden="false" customHeight="false" outlineLevel="0" collapsed="false">
      <c r="A193" s="0" t="n">
        <f aca="false">+1+A192</f>
        <v>192</v>
      </c>
      <c r="B193" s="1" t="s">
        <v>22</v>
      </c>
      <c r="C193" s="2" t="s">
        <v>23</v>
      </c>
      <c r="D193" s="0" t="s">
        <v>331</v>
      </c>
      <c r="E193" s="1" t="s">
        <v>332</v>
      </c>
      <c r="F193" s="1" t="n">
        <v>1283</v>
      </c>
      <c r="G193" s="1" t="n">
        <v>12</v>
      </c>
      <c r="H193" s="3" t="n">
        <v>0.0094</v>
      </c>
      <c r="I193" s="1" t="n">
        <v>0</v>
      </c>
      <c r="K193" s="15"/>
      <c r="L193" s="1" t="n">
        <v>0</v>
      </c>
      <c r="M193" s="5" t="n">
        <v>0</v>
      </c>
      <c r="N193" s="5" t="n">
        <v>3.64</v>
      </c>
      <c r="S193" s="16" t="n">
        <v>0.3</v>
      </c>
      <c r="T193" s="17" t="n">
        <f aca="false">+S193*(M193-J193-N193)</f>
        <v>-1.092</v>
      </c>
      <c r="U193" s="16" t="e">
        <f aca="false">+T193/M193</f>
        <v>#DIV/0!</v>
      </c>
      <c r="V193" s="18" t="e">
        <f aca="false">+T193*U193</f>
        <v>#DIV/0!</v>
      </c>
    </row>
    <row r="194" customFormat="false" ht="13.8" hidden="false" customHeight="false" outlineLevel="0" collapsed="false">
      <c r="A194" s="0" t="n">
        <f aca="false">+1+A193</f>
        <v>193</v>
      </c>
      <c r="B194" s="1" t="s">
        <v>22</v>
      </c>
      <c r="C194" s="2" t="s">
        <v>23</v>
      </c>
      <c r="D194" s="0" t="s">
        <v>333</v>
      </c>
      <c r="E194" s="1" t="s">
        <v>334</v>
      </c>
      <c r="F194" s="1" t="n">
        <v>1223</v>
      </c>
      <c r="G194" s="1" t="n">
        <v>17</v>
      </c>
      <c r="H194" s="3" t="n">
        <v>0.0139</v>
      </c>
      <c r="I194" s="1" t="n">
        <v>0</v>
      </c>
      <c r="K194" s="15"/>
      <c r="L194" s="1" t="n">
        <v>0</v>
      </c>
      <c r="M194" s="5" t="n">
        <v>0</v>
      </c>
      <c r="N194" s="5" t="n">
        <v>8.79</v>
      </c>
      <c r="S194" s="16" t="n">
        <v>0.3</v>
      </c>
      <c r="T194" s="17" t="n">
        <f aca="false">+S194*(M194-J194-N194)</f>
        <v>-2.637</v>
      </c>
      <c r="U194" s="16" t="e">
        <f aca="false">+T194/M194</f>
        <v>#DIV/0!</v>
      </c>
      <c r="V194" s="18" t="e">
        <f aca="false">+T194*U194</f>
        <v>#DIV/0!</v>
      </c>
    </row>
    <row r="195" customFormat="false" ht="13.8" hidden="false" customHeight="false" outlineLevel="0" collapsed="false">
      <c r="A195" s="0" t="n">
        <f aca="false">+1+A194</f>
        <v>194</v>
      </c>
      <c r="B195" s="1" t="s">
        <v>22</v>
      </c>
      <c r="C195" s="2" t="s">
        <v>23</v>
      </c>
      <c r="D195" s="0" t="s">
        <v>335</v>
      </c>
      <c r="E195" s="1" t="s">
        <v>336</v>
      </c>
      <c r="F195" s="1" t="n">
        <v>1144</v>
      </c>
      <c r="G195" s="1" t="n">
        <v>4</v>
      </c>
      <c r="H195" s="3" t="n">
        <v>0.0035</v>
      </c>
      <c r="I195" s="1" t="n">
        <v>2</v>
      </c>
      <c r="J195" s="4" t="n">
        <v>2.635</v>
      </c>
      <c r="K195" s="15" t="n">
        <v>0.5</v>
      </c>
      <c r="L195" s="1" t="n">
        <v>2</v>
      </c>
      <c r="M195" s="5" t="n">
        <v>143.88</v>
      </c>
      <c r="N195" s="5" t="n">
        <v>5.27</v>
      </c>
      <c r="O195" s="3" t="n">
        <v>0.0366</v>
      </c>
      <c r="S195" s="16" t="n">
        <v>0.3</v>
      </c>
      <c r="T195" s="17" t="n">
        <f aca="false">+S195*(M195-J195-N195)</f>
        <v>40.7925</v>
      </c>
      <c r="U195" s="16" t="n">
        <f aca="false">+T195/M195</f>
        <v>0.283517514595496</v>
      </c>
      <c r="V195" s="18" t="n">
        <f aca="false">+T195*U195</f>
        <v>11.5653882141368</v>
      </c>
    </row>
    <row r="196" customFormat="false" ht="13.8" hidden="false" customHeight="false" outlineLevel="0" collapsed="false">
      <c r="A196" s="0" t="n">
        <f aca="false">+1+A195</f>
        <v>195</v>
      </c>
      <c r="B196" s="1" t="s">
        <v>22</v>
      </c>
      <c r="C196" s="2" t="s">
        <v>23</v>
      </c>
      <c r="D196" s="0" t="s">
        <v>337</v>
      </c>
      <c r="E196" s="1" t="s">
        <v>338</v>
      </c>
      <c r="F196" s="1" t="n">
        <v>1112</v>
      </c>
      <c r="G196" s="1" t="n">
        <v>5</v>
      </c>
      <c r="H196" s="3" t="n">
        <v>0.0045</v>
      </c>
      <c r="I196" s="1" t="n">
        <v>0</v>
      </c>
      <c r="K196" s="15"/>
      <c r="L196" s="1" t="n">
        <v>0</v>
      </c>
      <c r="M196" s="5" t="n">
        <v>0</v>
      </c>
      <c r="N196" s="5" t="n">
        <v>8.5</v>
      </c>
      <c r="S196" s="16" t="n">
        <v>0.3</v>
      </c>
      <c r="T196" s="17" t="n">
        <f aca="false">+S196*(M196-J196-N196)</f>
        <v>-2.55</v>
      </c>
      <c r="U196" s="16" t="e">
        <f aca="false">+T196/M196</f>
        <v>#DIV/0!</v>
      </c>
      <c r="V196" s="18" t="e">
        <f aca="false">+T196*U196</f>
        <v>#DIV/0!</v>
      </c>
    </row>
    <row r="197" customFormat="false" ht="13.8" hidden="false" customHeight="false" outlineLevel="0" collapsed="false">
      <c r="A197" s="0" t="n">
        <f aca="false">+1+A196</f>
        <v>196</v>
      </c>
      <c r="B197" s="1" t="s">
        <v>22</v>
      </c>
      <c r="C197" s="2" t="s">
        <v>23</v>
      </c>
      <c r="D197" s="0" t="s">
        <v>339</v>
      </c>
      <c r="E197" s="1" t="s">
        <v>340</v>
      </c>
      <c r="F197" s="1" t="n">
        <v>1087</v>
      </c>
      <c r="G197" s="1" t="n">
        <v>6</v>
      </c>
      <c r="H197" s="3" t="n">
        <v>0.0055</v>
      </c>
      <c r="I197" s="1" t="n">
        <v>0</v>
      </c>
      <c r="K197" s="15"/>
      <c r="L197" s="1" t="n">
        <v>0</v>
      </c>
      <c r="M197" s="5" t="n">
        <v>0</v>
      </c>
      <c r="N197" s="5" t="n">
        <v>1.72</v>
      </c>
      <c r="S197" s="16" t="n">
        <v>0.3</v>
      </c>
      <c r="T197" s="17" t="n">
        <f aca="false">+S197*(M197-J197-N197)</f>
        <v>-0.516</v>
      </c>
      <c r="U197" s="16" t="e">
        <f aca="false">+T197/M197</f>
        <v>#DIV/0!</v>
      </c>
      <c r="V197" s="18" t="e">
        <f aca="false">+T197*U197</f>
        <v>#DIV/0!</v>
      </c>
    </row>
    <row r="198" customFormat="false" ht="13.8" hidden="false" customHeight="false" outlineLevel="0" collapsed="false">
      <c r="A198" s="0" t="n">
        <f aca="false">+1+A197</f>
        <v>197</v>
      </c>
      <c r="B198" s="1" t="s">
        <v>22</v>
      </c>
      <c r="C198" s="2" t="s">
        <v>23</v>
      </c>
      <c r="D198" s="0" t="s">
        <v>341</v>
      </c>
      <c r="E198" s="1" t="s">
        <v>342</v>
      </c>
      <c r="F198" s="1" t="n">
        <v>1065</v>
      </c>
      <c r="G198" s="1" t="n">
        <v>0</v>
      </c>
      <c r="I198" s="1" t="n">
        <v>0</v>
      </c>
      <c r="K198" s="15"/>
      <c r="L198" s="1" t="n">
        <v>0</v>
      </c>
      <c r="M198" s="5" t="n">
        <v>0</v>
      </c>
      <c r="N198" s="5" t="n">
        <v>0</v>
      </c>
      <c r="S198" s="16" t="n">
        <v>0.3</v>
      </c>
      <c r="T198" s="17" t="n">
        <f aca="false">+S198*(M198-J198-N198)</f>
        <v>0</v>
      </c>
      <c r="U198" s="16" t="e">
        <f aca="false">+T198/M198</f>
        <v>#DIV/0!</v>
      </c>
      <c r="V198" s="18" t="e">
        <f aca="false">+T198*U198</f>
        <v>#DIV/0!</v>
      </c>
    </row>
    <row r="199" customFormat="false" ht="13.8" hidden="false" customHeight="false" outlineLevel="0" collapsed="false">
      <c r="A199" s="0" t="n">
        <f aca="false">+1+A198</f>
        <v>198</v>
      </c>
      <c r="B199" s="1" t="s">
        <v>22</v>
      </c>
      <c r="C199" s="2" t="s">
        <v>23</v>
      </c>
      <c r="D199" s="0" t="s">
        <v>343</v>
      </c>
      <c r="E199" s="1" t="s">
        <v>344</v>
      </c>
      <c r="F199" s="1" t="n">
        <v>1064</v>
      </c>
      <c r="G199" s="1" t="n">
        <v>1</v>
      </c>
      <c r="H199" s="3" t="n">
        <v>0.0009</v>
      </c>
      <c r="I199" s="1" t="n">
        <v>0</v>
      </c>
      <c r="K199" s="15"/>
      <c r="L199" s="1" t="n">
        <v>0</v>
      </c>
      <c r="M199" s="5" t="n">
        <v>0</v>
      </c>
      <c r="N199" s="5" t="n">
        <v>0.22</v>
      </c>
      <c r="S199" s="16" t="n">
        <v>0.3</v>
      </c>
      <c r="T199" s="17" t="n">
        <f aca="false">+S199*(M199-J199-N199)</f>
        <v>-0.066</v>
      </c>
      <c r="U199" s="16" t="e">
        <f aca="false">+T199/M199</f>
        <v>#DIV/0!</v>
      </c>
      <c r="V199" s="18" t="e">
        <f aca="false">+T199*U199</f>
        <v>#DIV/0!</v>
      </c>
    </row>
    <row r="200" customFormat="false" ht="13.8" hidden="false" customHeight="false" outlineLevel="0" collapsed="false">
      <c r="A200" s="0" t="n">
        <f aca="false">+1+A199</f>
        <v>199</v>
      </c>
      <c r="B200" s="1" t="s">
        <v>22</v>
      </c>
      <c r="C200" s="2" t="s">
        <v>23</v>
      </c>
      <c r="D200" s="0" t="s">
        <v>345</v>
      </c>
      <c r="E200" s="1" t="s">
        <v>346</v>
      </c>
      <c r="F200" s="1" t="n">
        <v>1023</v>
      </c>
      <c r="G200" s="1" t="n">
        <v>1</v>
      </c>
      <c r="H200" s="3" t="n">
        <v>0.001</v>
      </c>
      <c r="I200" s="1" t="n">
        <v>0</v>
      </c>
      <c r="K200" s="15"/>
      <c r="L200" s="1" t="n">
        <v>0</v>
      </c>
      <c r="M200" s="5" t="n">
        <v>0</v>
      </c>
      <c r="N200" s="5" t="n">
        <v>0.56</v>
      </c>
      <c r="S200" s="16" t="n">
        <v>0.3</v>
      </c>
      <c r="T200" s="17" t="n">
        <f aca="false">+S200*(M200-J200-N200)</f>
        <v>-0.168</v>
      </c>
      <c r="U200" s="16" t="e">
        <f aca="false">+T200/M200</f>
        <v>#DIV/0!</v>
      </c>
      <c r="V200" s="18" t="e">
        <f aca="false">+T200*U200</f>
        <v>#DIV/0!</v>
      </c>
    </row>
    <row r="201" customFormat="false" ht="13.8" hidden="false" customHeight="false" outlineLevel="0" collapsed="false">
      <c r="A201" s="0" t="n">
        <f aca="false">+1+A200</f>
        <v>200</v>
      </c>
      <c r="B201" s="1" t="s">
        <v>22</v>
      </c>
      <c r="C201" s="2" t="s">
        <v>23</v>
      </c>
      <c r="D201" s="0" t="s">
        <v>347</v>
      </c>
      <c r="E201" s="1" t="s">
        <v>348</v>
      </c>
      <c r="F201" s="1" t="n">
        <v>981</v>
      </c>
      <c r="G201" s="1" t="n">
        <v>5</v>
      </c>
      <c r="H201" s="3" t="n">
        <v>0.0051</v>
      </c>
      <c r="I201" s="1" t="n">
        <v>0</v>
      </c>
      <c r="K201" s="15"/>
      <c r="L201" s="1" t="n">
        <v>0</v>
      </c>
      <c r="M201" s="5" t="n">
        <v>0</v>
      </c>
      <c r="N201" s="5" t="n">
        <v>13.75</v>
      </c>
      <c r="S201" s="16" t="n">
        <v>0.3</v>
      </c>
      <c r="T201" s="17" t="n">
        <f aca="false">+S201*(M201-J201-N201)</f>
        <v>-4.125</v>
      </c>
      <c r="U201" s="16" t="e">
        <f aca="false">+T201/M201</f>
        <v>#DIV/0!</v>
      </c>
      <c r="V201" s="18" t="e">
        <f aca="false">+T201*U201</f>
        <v>#DIV/0!</v>
      </c>
    </row>
    <row r="202" customFormat="false" ht="13.8" hidden="false" customHeight="false" outlineLevel="0" collapsed="false">
      <c r="A202" s="0" t="n">
        <f aca="false">+1+A201</f>
        <v>201</v>
      </c>
      <c r="B202" s="1" t="s">
        <v>22</v>
      </c>
      <c r="C202" s="2" t="s">
        <v>23</v>
      </c>
      <c r="D202" s="0" t="s">
        <v>349</v>
      </c>
      <c r="E202" s="1" t="s">
        <v>350</v>
      </c>
      <c r="F202" s="1" t="n">
        <v>884</v>
      </c>
      <c r="G202" s="1" t="n">
        <v>29</v>
      </c>
      <c r="H202" s="3" t="n">
        <v>0.0328</v>
      </c>
      <c r="I202" s="1" t="n">
        <v>0</v>
      </c>
      <c r="K202" s="15"/>
      <c r="L202" s="1" t="n">
        <v>0</v>
      </c>
      <c r="M202" s="5" t="n">
        <v>0</v>
      </c>
      <c r="N202" s="5" t="n">
        <v>12.05</v>
      </c>
      <c r="S202" s="16" t="n">
        <v>0.3</v>
      </c>
      <c r="T202" s="17" t="n">
        <f aca="false">+S202*(M202-J202-N202)</f>
        <v>-3.615</v>
      </c>
      <c r="U202" s="16" t="e">
        <f aca="false">+T202/M202</f>
        <v>#DIV/0!</v>
      </c>
      <c r="V202" s="18" t="e">
        <f aca="false">+T202*U202</f>
        <v>#DIV/0!</v>
      </c>
    </row>
    <row r="203" customFormat="false" ht="13.8" hidden="false" customHeight="false" outlineLevel="0" collapsed="false">
      <c r="A203" s="0" t="n">
        <f aca="false">+1+A202</f>
        <v>202</v>
      </c>
      <c r="B203" s="1" t="s">
        <v>22</v>
      </c>
      <c r="C203" s="2" t="s">
        <v>23</v>
      </c>
      <c r="D203" s="0" t="s">
        <v>351</v>
      </c>
      <c r="E203" s="1" t="s">
        <v>352</v>
      </c>
      <c r="F203" s="1" t="n">
        <v>854</v>
      </c>
      <c r="G203" s="1" t="n">
        <v>1</v>
      </c>
      <c r="H203" s="3" t="n">
        <v>0.0012</v>
      </c>
      <c r="I203" s="1" t="n">
        <v>0</v>
      </c>
      <c r="K203" s="15"/>
      <c r="L203" s="1" t="n">
        <v>0</v>
      </c>
      <c r="M203" s="5" t="n">
        <v>0</v>
      </c>
      <c r="N203" s="5" t="n">
        <v>1.65</v>
      </c>
      <c r="S203" s="16" t="n">
        <v>0.3</v>
      </c>
      <c r="T203" s="17" t="n">
        <f aca="false">+S203*(M203-J203-N203)</f>
        <v>-0.495</v>
      </c>
      <c r="U203" s="16" t="e">
        <f aca="false">+T203/M203</f>
        <v>#DIV/0!</v>
      </c>
      <c r="V203" s="18" t="e">
        <f aca="false">+T203*U203</f>
        <v>#DIV/0!</v>
      </c>
    </row>
    <row r="204" customFormat="false" ht="13.8" hidden="false" customHeight="false" outlineLevel="0" collapsed="false">
      <c r="A204" s="0" t="n">
        <f aca="false">+1+A203</f>
        <v>203</v>
      </c>
      <c r="B204" s="1" t="s">
        <v>22</v>
      </c>
      <c r="C204" s="2" t="s">
        <v>23</v>
      </c>
      <c r="D204" s="0" t="s">
        <v>353</v>
      </c>
      <c r="E204" s="1" t="s">
        <v>354</v>
      </c>
      <c r="F204" s="1" t="n">
        <v>839</v>
      </c>
      <c r="G204" s="1" t="n">
        <v>13</v>
      </c>
      <c r="H204" s="3" t="n">
        <v>0.0155</v>
      </c>
      <c r="I204" s="1" t="n">
        <v>0</v>
      </c>
      <c r="K204" s="15"/>
      <c r="L204" s="1" t="n">
        <v>0</v>
      </c>
      <c r="M204" s="5" t="n">
        <v>0</v>
      </c>
      <c r="N204" s="5" t="n">
        <v>12.44</v>
      </c>
      <c r="S204" s="16" t="n">
        <v>0.3</v>
      </c>
      <c r="T204" s="17" t="n">
        <f aca="false">+S204*(M204-J204-N204)</f>
        <v>-3.732</v>
      </c>
      <c r="U204" s="16" t="e">
        <f aca="false">+T204/M204</f>
        <v>#DIV/0!</v>
      </c>
      <c r="V204" s="18" t="e">
        <f aca="false">+T204*U204</f>
        <v>#DIV/0!</v>
      </c>
    </row>
    <row r="205" customFormat="false" ht="13.8" hidden="false" customHeight="false" outlineLevel="0" collapsed="false">
      <c r="A205" s="0" t="n">
        <f aca="false">+1+A204</f>
        <v>204</v>
      </c>
      <c r="B205" s="1" t="s">
        <v>22</v>
      </c>
      <c r="C205" s="2" t="s">
        <v>23</v>
      </c>
      <c r="D205" s="0" t="s">
        <v>355</v>
      </c>
      <c r="E205" s="1" t="s">
        <v>356</v>
      </c>
      <c r="F205" s="1" t="n">
        <v>802</v>
      </c>
      <c r="G205" s="1" t="n">
        <v>30</v>
      </c>
      <c r="H205" s="3" t="n">
        <v>0.0374</v>
      </c>
      <c r="I205" s="1" t="n">
        <v>0</v>
      </c>
      <c r="K205" s="15"/>
      <c r="L205" s="1" t="n">
        <v>0</v>
      </c>
      <c r="M205" s="5" t="n">
        <v>0</v>
      </c>
      <c r="N205" s="5" t="n">
        <v>12.74</v>
      </c>
      <c r="S205" s="16" t="n">
        <v>0.3</v>
      </c>
      <c r="T205" s="17" t="n">
        <f aca="false">+S205*(M205-J205-N205)</f>
        <v>-3.822</v>
      </c>
      <c r="U205" s="16" t="e">
        <f aca="false">+T205/M205</f>
        <v>#DIV/0!</v>
      </c>
      <c r="V205" s="18" t="e">
        <f aca="false">+T205*U205</f>
        <v>#DIV/0!</v>
      </c>
    </row>
    <row r="206" customFormat="false" ht="13.8" hidden="false" customHeight="false" outlineLevel="0" collapsed="false">
      <c r="A206" s="0" t="n">
        <f aca="false">+1+A205</f>
        <v>205</v>
      </c>
      <c r="B206" s="1" t="s">
        <v>22</v>
      </c>
      <c r="C206" s="2" t="s">
        <v>23</v>
      </c>
      <c r="D206" s="0" t="s">
        <v>357</v>
      </c>
      <c r="E206" s="1" t="s">
        <v>358</v>
      </c>
      <c r="F206" s="1" t="n">
        <v>797</v>
      </c>
      <c r="G206" s="1" t="n">
        <v>10</v>
      </c>
      <c r="H206" s="3" t="n">
        <v>0.0125</v>
      </c>
      <c r="I206" s="1" t="n">
        <v>1</v>
      </c>
      <c r="J206" s="4" t="n">
        <v>6.11</v>
      </c>
      <c r="K206" s="15" t="n">
        <v>0.1</v>
      </c>
      <c r="L206" s="1" t="n">
        <v>1</v>
      </c>
      <c r="M206" s="5" t="n">
        <v>47.4</v>
      </c>
      <c r="N206" s="5" t="n">
        <v>6.11</v>
      </c>
      <c r="O206" s="3" t="n">
        <v>0.1289</v>
      </c>
      <c r="S206" s="16" t="n">
        <v>0.3</v>
      </c>
      <c r="T206" s="17" t="n">
        <f aca="false">+S206*(M206-J206-N206)</f>
        <v>10.554</v>
      </c>
      <c r="U206" s="16" t="n">
        <f aca="false">+T206/M206</f>
        <v>0.222658227848101</v>
      </c>
      <c r="V206" s="18" t="n">
        <f aca="false">+T206*U206</f>
        <v>2.34993493670886</v>
      </c>
    </row>
    <row r="207" customFormat="false" ht="13.8" hidden="false" customHeight="false" outlineLevel="0" collapsed="false">
      <c r="A207" s="0" t="n">
        <f aca="false">+1+A206</f>
        <v>206</v>
      </c>
      <c r="B207" s="1" t="s">
        <v>22</v>
      </c>
      <c r="C207" s="2" t="s">
        <v>23</v>
      </c>
      <c r="D207" s="0" t="s">
        <v>359</v>
      </c>
      <c r="E207" s="1" t="s">
        <v>360</v>
      </c>
      <c r="F207" s="1" t="n">
        <v>790</v>
      </c>
      <c r="G207" s="1" t="n">
        <v>2</v>
      </c>
      <c r="H207" s="3" t="n">
        <v>0.0025</v>
      </c>
      <c r="I207" s="1" t="n">
        <v>0</v>
      </c>
      <c r="K207" s="15"/>
      <c r="L207" s="1" t="n">
        <v>0</v>
      </c>
      <c r="M207" s="5" t="n">
        <v>0</v>
      </c>
      <c r="N207" s="5" t="n">
        <v>6.69</v>
      </c>
      <c r="S207" s="16" t="n">
        <v>0.3</v>
      </c>
      <c r="T207" s="17" t="n">
        <f aca="false">+S207*(M207-J207-N207)</f>
        <v>-2.007</v>
      </c>
      <c r="U207" s="16" t="e">
        <f aca="false">+T207/M207</f>
        <v>#DIV/0!</v>
      </c>
      <c r="V207" s="18" t="e">
        <f aca="false">+T207*U207</f>
        <v>#DIV/0!</v>
      </c>
    </row>
    <row r="208" customFormat="false" ht="13.8" hidden="false" customHeight="false" outlineLevel="0" collapsed="false">
      <c r="A208" s="0" t="n">
        <f aca="false">+1+A207</f>
        <v>207</v>
      </c>
      <c r="B208" s="1" t="s">
        <v>22</v>
      </c>
      <c r="C208" s="2" t="s">
        <v>23</v>
      </c>
      <c r="D208" s="0" t="s">
        <v>361</v>
      </c>
      <c r="E208" s="1" t="s">
        <v>362</v>
      </c>
      <c r="F208" s="1" t="n">
        <v>721</v>
      </c>
      <c r="G208" s="1" t="n">
        <v>2</v>
      </c>
      <c r="H208" s="3" t="n">
        <v>0.0028</v>
      </c>
      <c r="I208" s="1" t="n">
        <v>0</v>
      </c>
      <c r="K208" s="15"/>
      <c r="L208" s="1" t="n">
        <v>0</v>
      </c>
      <c r="M208" s="5" t="n">
        <v>0</v>
      </c>
      <c r="N208" s="5" t="n">
        <v>0.18</v>
      </c>
      <c r="S208" s="16" t="n">
        <v>0.3</v>
      </c>
      <c r="T208" s="17" t="n">
        <f aca="false">+S208*(M208-J208-N208)</f>
        <v>-0.054</v>
      </c>
      <c r="U208" s="16" t="e">
        <f aca="false">+T208/M208</f>
        <v>#DIV/0!</v>
      </c>
      <c r="V208" s="18" t="e">
        <f aca="false">+T208*U208</f>
        <v>#DIV/0!</v>
      </c>
    </row>
    <row r="209" customFormat="false" ht="13.8" hidden="false" customHeight="false" outlineLevel="0" collapsed="false">
      <c r="A209" s="0" t="n">
        <f aca="false">+1+A208</f>
        <v>208</v>
      </c>
      <c r="B209" s="1" t="s">
        <v>22</v>
      </c>
      <c r="C209" s="2" t="s">
        <v>23</v>
      </c>
      <c r="D209" s="0" t="s">
        <v>363</v>
      </c>
      <c r="E209" s="1" t="s">
        <v>364</v>
      </c>
      <c r="F209" s="1" t="n">
        <v>672</v>
      </c>
      <c r="G209" s="1" t="n">
        <v>5</v>
      </c>
      <c r="H209" s="3" t="n">
        <v>0.0074</v>
      </c>
      <c r="I209" s="1" t="n">
        <v>0</v>
      </c>
      <c r="K209" s="15"/>
      <c r="L209" s="1" t="n">
        <v>0</v>
      </c>
      <c r="M209" s="5" t="n">
        <v>0</v>
      </c>
      <c r="N209" s="5" t="n">
        <v>12.03</v>
      </c>
      <c r="S209" s="16" t="n">
        <v>0.3</v>
      </c>
      <c r="T209" s="17" t="n">
        <f aca="false">+S209*(M209-J209-N209)</f>
        <v>-3.609</v>
      </c>
      <c r="U209" s="16" t="e">
        <f aca="false">+T209/M209</f>
        <v>#DIV/0!</v>
      </c>
      <c r="V209" s="18" t="e">
        <f aca="false">+T209*U209</f>
        <v>#DIV/0!</v>
      </c>
    </row>
    <row r="210" customFormat="false" ht="13.8" hidden="false" customHeight="false" outlineLevel="0" collapsed="false">
      <c r="A210" s="0" t="n">
        <f aca="false">+1+A209</f>
        <v>209</v>
      </c>
      <c r="B210" s="1" t="s">
        <v>22</v>
      </c>
      <c r="C210" s="2" t="s">
        <v>23</v>
      </c>
      <c r="D210" s="0" t="s">
        <v>365</v>
      </c>
      <c r="E210" s="1" t="s">
        <v>366</v>
      </c>
      <c r="F210" s="1" t="n">
        <v>668</v>
      </c>
      <c r="G210" s="1" t="n">
        <v>1</v>
      </c>
      <c r="H210" s="3" t="n">
        <v>0.0015</v>
      </c>
      <c r="I210" s="1" t="n">
        <v>1</v>
      </c>
      <c r="J210" s="4" t="n">
        <v>2.2</v>
      </c>
      <c r="K210" s="15" t="n">
        <v>1</v>
      </c>
      <c r="L210" s="1" t="n">
        <v>1</v>
      </c>
      <c r="M210" s="5" t="n">
        <v>65.48</v>
      </c>
      <c r="N210" s="5" t="n">
        <v>2.2</v>
      </c>
      <c r="O210" s="3" t="n">
        <v>0.0336</v>
      </c>
      <c r="S210" s="16" t="n">
        <v>0.3</v>
      </c>
      <c r="T210" s="17" t="n">
        <f aca="false">+S210*(M210-J210-N210)</f>
        <v>18.324</v>
      </c>
      <c r="U210" s="16" t="n">
        <f aca="false">+T210/M210</f>
        <v>0.279841172877214</v>
      </c>
      <c r="V210" s="18" t="n">
        <f aca="false">+T210*U210</f>
        <v>5.12780965180208</v>
      </c>
    </row>
    <row r="211" customFormat="false" ht="13.8" hidden="false" customHeight="false" outlineLevel="0" collapsed="false">
      <c r="A211" s="0" t="n">
        <f aca="false">+1+A210</f>
        <v>210</v>
      </c>
      <c r="B211" s="1" t="s">
        <v>22</v>
      </c>
      <c r="C211" s="2" t="s">
        <v>23</v>
      </c>
      <c r="D211" s="0" t="s">
        <v>367</v>
      </c>
      <c r="E211" s="1" t="s">
        <v>368</v>
      </c>
      <c r="F211" s="1" t="n">
        <v>652</v>
      </c>
      <c r="G211" s="1" t="n">
        <v>1</v>
      </c>
      <c r="H211" s="3" t="n">
        <v>0.0015</v>
      </c>
      <c r="I211" s="1" t="n">
        <v>0</v>
      </c>
      <c r="K211" s="15"/>
      <c r="L211" s="1" t="n">
        <v>0</v>
      </c>
      <c r="M211" s="5" t="n">
        <v>0</v>
      </c>
      <c r="N211" s="5" t="n">
        <v>0.27</v>
      </c>
      <c r="S211" s="16" t="n">
        <v>0.3</v>
      </c>
      <c r="T211" s="17" t="n">
        <f aca="false">+S211*(M211-J211-N211)</f>
        <v>-0.081</v>
      </c>
      <c r="U211" s="16" t="e">
        <f aca="false">+T211/M211</f>
        <v>#DIV/0!</v>
      </c>
      <c r="V211" s="18" t="e">
        <f aca="false">+T211*U211</f>
        <v>#DIV/0!</v>
      </c>
    </row>
    <row r="212" customFormat="false" ht="13.8" hidden="false" customHeight="false" outlineLevel="0" collapsed="false">
      <c r="A212" s="0" t="n">
        <f aca="false">+1+A211</f>
        <v>211</v>
      </c>
      <c r="B212" s="1" t="s">
        <v>22</v>
      </c>
      <c r="C212" s="2" t="s">
        <v>23</v>
      </c>
      <c r="D212" s="0" t="s">
        <v>369</v>
      </c>
      <c r="E212" s="1" t="s">
        <v>370</v>
      </c>
      <c r="F212" s="1" t="n">
        <v>641</v>
      </c>
      <c r="G212" s="1" t="n">
        <v>4</v>
      </c>
      <c r="H212" s="3" t="n">
        <v>0.0062</v>
      </c>
      <c r="I212" s="1" t="n">
        <v>0</v>
      </c>
      <c r="K212" s="15"/>
      <c r="L212" s="1" t="n">
        <v>0</v>
      </c>
      <c r="M212" s="5" t="n">
        <v>0</v>
      </c>
      <c r="N212" s="5" t="n">
        <v>0.93</v>
      </c>
      <c r="S212" s="16" t="n">
        <v>0.3</v>
      </c>
      <c r="T212" s="17" t="n">
        <f aca="false">+S212*(M212-J212-N212)</f>
        <v>-0.279</v>
      </c>
      <c r="U212" s="16" t="e">
        <f aca="false">+T212/M212</f>
        <v>#DIV/0!</v>
      </c>
      <c r="V212" s="18" t="e">
        <f aca="false">+T212*U212</f>
        <v>#DIV/0!</v>
      </c>
    </row>
    <row r="213" customFormat="false" ht="13.8" hidden="false" customHeight="false" outlineLevel="0" collapsed="false">
      <c r="A213" s="0" t="n">
        <f aca="false">+1+A212</f>
        <v>212</v>
      </c>
      <c r="B213" s="1" t="s">
        <v>22</v>
      </c>
      <c r="C213" s="2" t="s">
        <v>23</v>
      </c>
      <c r="D213" s="0" t="s">
        <v>371</v>
      </c>
      <c r="E213" s="1" t="s">
        <v>372</v>
      </c>
      <c r="F213" s="1" t="n">
        <v>612</v>
      </c>
      <c r="G213" s="1" t="n">
        <v>15</v>
      </c>
      <c r="H213" s="3" t="n">
        <v>0.0245</v>
      </c>
      <c r="I213" s="1" t="n">
        <v>1</v>
      </c>
      <c r="J213" s="4" t="n">
        <v>10.25</v>
      </c>
      <c r="K213" s="15" t="n">
        <v>0.0667</v>
      </c>
      <c r="L213" s="1" t="n">
        <v>1</v>
      </c>
      <c r="M213" s="5" t="n">
        <v>34.92</v>
      </c>
      <c r="N213" s="5" t="n">
        <v>10.25</v>
      </c>
      <c r="O213" s="3" t="n">
        <v>0.2935</v>
      </c>
      <c r="S213" s="16" t="n">
        <v>0.3</v>
      </c>
      <c r="T213" s="17" t="n">
        <f aca="false">+S213*(M213-J213-N213)</f>
        <v>4.326</v>
      </c>
      <c r="U213" s="16" t="n">
        <f aca="false">+T213/M213</f>
        <v>0.123883161512028</v>
      </c>
      <c r="V213" s="18" t="n">
        <f aca="false">+T213*U213</f>
        <v>0.535918556701031</v>
      </c>
    </row>
    <row r="214" customFormat="false" ht="13.8" hidden="false" customHeight="false" outlineLevel="0" collapsed="false">
      <c r="A214" s="0" t="n">
        <f aca="false">+1+A213</f>
        <v>213</v>
      </c>
      <c r="B214" s="1" t="s">
        <v>22</v>
      </c>
      <c r="C214" s="2" t="s">
        <v>23</v>
      </c>
      <c r="D214" s="0" t="s">
        <v>373</v>
      </c>
      <c r="E214" s="1" t="s">
        <v>374</v>
      </c>
      <c r="F214" s="1" t="n">
        <v>573</v>
      </c>
      <c r="G214" s="1" t="n">
        <v>0</v>
      </c>
      <c r="I214" s="1" t="n">
        <v>0</v>
      </c>
      <c r="K214" s="15"/>
      <c r="L214" s="1" t="n">
        <v>0</v>
      </c>
      <c r="M214" s="5" t="n">
        <v>0</v>
      </c>
      <c r="N214" s="5" t="n">
        <v>0</v>
      </c>
      <c r="S214" s="16" t="n">
        <v>0.3</v>
      </c>
      <c r="T214" s="17" t="n">
        <f aca="false">+S214*(M214-J214-N214)</f>
        <v>0</v>
      </c>
      <c r="U214" s="16" t="e">
        <f aca="false">+T214/M214</f>
        <v>#DIV/0!</v>
      </c>
      <c r="V214" s="18" t="e">
        <f aca="false">+T214*U214</f>
        <v>#DIV/0!</v>
      </c>
    </row>
    <row r="215" customFormat="false" ht="13.8" hidden="false" customHeight="false" outlineLevel="0" collapsed="false">
      <c r="A215" s="0" t="n">
        <f aca="false">+1+A214</f>
        <v>214</v>
      </c>
      <c r="B215" s="1" t="s">
        <v>22</v>
      </c>
      <c r="C215" s="2" t="s">
        <v>23</v>
      </c>
      <c r="D215" s="0" t="s">
        <v>375</v>
      </c>
      <c r="E215" s="1" t="s">
        <v>376</v>
      </c>
      <c r="F215" s="1" t="n">
        <v>573</v>
      </c>
      <c r="G215" s="1" t="n">
        <v>1</v>
      </c>
      <c r="H215" s="3" t="n">
        <v>0.0017</v>
      </c>
      <c r="I215" s="1" t="n">
        <v>0</v>
      </c>
      <c r="K215" s="15"/>
      <c r="L215" s="1" t="n">
        <v>0</v>
      </c>
      <c r="M215" s="5" t="n">
        <v>0</v>
      </c>
      <c r="N215" s="5" t="n">
        <v>0.52</v>
      </c>
      <c r="S215" s="16" t="n">
        <v>0.3</v>
      </c>
      <c r="T215" s="17" t="n">
        <f aca="false">+S215*(M215-J215-N215)</f>
        <v>-0.156</v>
      </c>
      <c r="U215" s="16" t="e">
        <f aca="false">+T215/M215</f>
        <v>#DIV/0!</v>
      </c>
      <c r="V215" s="18" t="e">
        <f aca="false">+T215*U215</f>
        <v>#DIV/0!</v>
      </c>
    </row>
    <row r="216" customFormat="false" ht="13.8" hidden="false" customHeight="false" outlineLevel="0" collapsed="false">
      <c r="A216" s="0" t="n">
        <f aca="false">+1+A215</f>
        <v>215</v>
      </c>
      <c r="B216" s="1" t="s">
        <v>22</v>
      </c>
      <c r="C216" s="2" t="s">
        <v>23</v>
      </c>
      <c r="D216" s="0" t="s">
        <v>377</v>
      </c>
      <c r="E216" s="1" t="s">
        <v>378</v>
      </c>
      <c r="F216" s="1" t="n">
        <v>555</v>
      </c>
      <c r="G216" s="1" t="n">
        <v>5</v>
      </c>
      <c r="H216" s="3" t="n">
        <v>0.009</v>
      </c>
      <c r="I216" s="1" t="n">
        <v>0</v>
      </c>
      <c r="K216" s="15"/>
      <c r="L216" s="1" t="n">
        <v>0</v>
      </c>
      <c r="M216" s="5" t="n">
        <v>0</v>
      </c>
      <c r="N216" s="5" t="n">
        <v>8.15</v>
      </c>
      <c r="S216" s="16" t="n">
        <v>0.3</v>
      </c>
      <c r="T216" s="17" t="n">
        <f aca="false">+S216*(M216-J216-N216)</f>
        <v>-2.445</v>
      </c>
      <c r="U216" s="16" t="e">
        <f aca="false">+T216/M216</f>
        <v>#DIV/0!</v>
      </c>
      <c r="V216" s="18" t="e">
        <f aca="false">+T216*U216</f>
        <v>#DIV/0!</v>
      </c>
    </row>
    <row r="217" customFormat="false" ht="13.8" hidden="false" customHeight="false" outlineLevel="0" collapsed="false">
      <c r="A217" s="0" t="n">
        <f aca="false">+1+A216</f>
        <v>216</v>
      </c>
      <c r="B217" s="1" t="s">
        <v>22</v>
      </c>
      <c r="C217" s="2" t="s">
        <v>23</v>
      </c>
      <c r="D217" s="0" t="s">
        <v>359</v>
      </c>
      <c r="E217" s="1" t="s">
        <v>360</v>
      </c>
      <c r="F217" s="1" t="n">
        <v>520</v>
      </c>
      <c r="G217" s="1" t="n">
        <v>2</v>
      </c>
      <c r="H217" s="3" t="n">
        <v>0.0038</v>
      </c>
      <c r="I217" s="1" t="n">
        <v>0</v>
      </c>
      <c r="K217" s="15"/>
      <c r="L217" s="1" t="n">
        <v>0</v>
      </c>
      <c r="M217" s="5" t="n">
        <v>0</v>
      </c>
      <c r="N217" s="5" t="n">
        <v>3.15</v>
      </c>
      <c r="S217" s="16" t="n">
        <v>0.3</v>
      </c>
      <c r="T217" s="17" t="n">
        <f aca="false">+S217*(M217-J217-N217)</f>
        <v>-0.945</v>
      </c>
      <c r="U217" s="16" t="e">
        <f aca="false">+T217/M217</f>
        <v>#DIV/0!</v>
      </c>
      <c r="V217" s="18" t="e">
        <f aca="false">+T217*U217</f>
        <v>#DIV/0!</v>
      </c>
    </row>
    <row r="218" customFormat="false" ht="13.8" hidden="false" customHeight="false" outlineLevel="0" collapsed="false">
      <c r="A218" s="0" t="n">
        <f aca="false">+1+A217</f>
        <v>217</v>
      </c>
      <c r="B218" s="1" t="s">
        <v>22</v>
      </c>
      <c r="C218" s="2" t="s">
        <v>23</v>
      </c>
      <c r="D218" s="0" t="s">
        <v>379</v>
      </c>
      <c r="E218" s="1" t="s">
        <v>380</v>
      </c>
      <c r="F218" s="1" t="n">
        <v>463</v>
      </c>
      <c r="G218" s="1" t="n">
        <v>0</v>
      </c>
      <c r="I218" s="1" t="n">
        <v>0</v>
      </c>
      <c r="K218" s="15"/>
      <c r="L218" s="1" t="n">
        <v>0</v>
      </c>
      <c r="M218" s="5" t="n">
        <v>0</v>
      </c>
      <c r="N218" s="5" t="n">
        <v>0</v>
      </c>
      <c r="S218" s="16" t="n">
        <v>0.3</v>
      </c>
      <c r="T218" s="17" t="n">
        <f aca="false">+S218*(M218-J218-N218)</f>
        <v>0</v>
      </c>
      <c r="U218" s="16" t="e">
        <f aca="false">+T218/M218</f>
        <v>#DIV/0!</v>
      </c>
      <c r="V218" s="18" t="e">
        <f aca="false">+T218*U218</f>
        <v>#DIV/0!</v>
      </c>
    </row>
    <row r="219" customFormat="false" ht="13.8" hidden="false" customHeight="false" outlineLevel="0" collapsed="false">
      <c r="A219" s="0" t="n">
        <f aca="false">+1+A218</f>
        <v>218</v>
      </c>
      <c r="B219" s="1" t="s">
        <v>22</v>
      </c>
      <c r="C219" s="2" t="s">
        <v>23</v>
      </c>
      <c r="D219" s="0" t="s">
        <v>381</v>
      </c>
      <c r="E219" s="1" t="s">
        <v>382</v>
      </c>
      <c r="F219" s="1" t="n">
        <v>438</v>
      </c>
      <c r="G219" s="1" t="n">
        <v>4</v>
      </c>
      <c r="H219" s="3" t="n">
        <v>0.0091</v>
      </c>
      <c r="I219" s="1" t="n">
        <v>0</v>
      </c>
      <c r="K219" s="15"/>
      <c r="L219" s="1" t="n">
        <v>0</v>
      </c>
      <c r="M219" s="5" t="n">
        <v>0</v>
      </c>
      <c r="N219" s="5" t="n">
        <v>1.27</v>
      </c>
      <c r="S219" s="16" t="n">
        <v>0.3</v>
      </c>
      <c r="T219" s="17" t="n">
        <f aca="false">+S219*(M219-J219-N219)</f>
        <v>-0.381</v>
      </c>
      <c r="U219" s="16" t="e">
        <f aca="false">+T219/M219</f>
        <v>#DIV/0!</v>
      </c>
      <c r="V219" s="18" t="e">
        <f aca="false">+T219*U219</f>
        <v>#DIV/0!</v>
      </c>
    </row>
    <row r="220" customFormat="false" ht="13.8" hidden="false" customHeight="false" outlineLevel="0" collapsed="false">
      <c r="A220" s="0" t="n">
        <f aca="false">+1+A219</f>
        <v>219</v>
      </c>
      <c r="B220" s="1" t="s">
        <v>22</v>
      </c>
      <c r="C220" s="2" t="s">
        <v>23</v>
      </c>
      <c r="D220" s="0" t="s">
        <v>355</v>
      </c>
      <c r="E220" s="1" t="s">
        <v>356</v>
      </c>
      <c r="F220" s="1" t="n">
        <v>428</v>
      </c>
      <c r="G220" s="1" t="n">
        <v>9</v>
      </c>
      <c r="H220" s="3" t="n">
        <v>0.021</v>
      </c>
      <c r="I220" s="1" t="n">
        <v>0</v>
      </c>
      <c r="K220" s="15"/>
      <c r="L220" s="1" t="n">
        <v>0</v>
      </c>
      <c r="M220" s="5" t="n">
        <v>0</v>
      </c>
      <c r="N220" s="5" t="n">
        <v>6.28</v>
      </c>
      <c r="S220" s="16" t="n">
        <v>0.3</v>
      </c>
      <c r="T220" s="17" t="n">
        <f aca="false">+S220*(M220-J220-N220)</f>
        <v>-1.884</v>
      </c>
      <c r="U220" s="16" t="e">
        <f aca="false">+T220/M220</f>
        <v>#DIV/0!</v>
      </c>
      <c r="V220" s="18" t="e">
        <f aca="false">+T220*U220</f>
        <v>#DIV/0!</v>
      </c>
    </row>
    <row r="221" customFormat="false" ht="13.8" hidden="false" customHeight="false" outlineLevel="0" collapsed="false">
      <c r="A221" s="0" t="n">
        <f aca="false">+1+A220</f>
        <v>220</v>
      </c>
      <c r="B221" s="1" t="s">
        <v>22</v>
      </c>
      <c r="C221" s="2" t="s">
        <v>23</v>
      </c>
      <c r="D221" s="0" t="s">
        <v>383</v>
      </c>
      <c r="E221" s="1" t="s">
        <v>384</v>
      </c>
      <c r="F221" s="1" t="n">
        <v>427</v>
      </c>
      <c r="G221" s="1" t="n">
        <v>2</v>
      </c>
      <c r="H221" s="3" t="n">
        <v>0.0047</v>
      </c>
      <c r="I221" s="1" t="n">
        <v>0</v>
      </c>
      <c r="K221" s="15"/>
      <c r="L221" s="1" t="n">
        <v>0</v>
      </c>
      <c r="M221" s="5" t="n">
        <v>0</v>
      </c>
      <c r="N221" s="5" t="n">
        <v>3.96</v>
      </c>
      <c r="S221" s="16" t="n">
        <v>0.3</v>
      </c>
      <c r="T221" s="17" t="n">
        <f aca="false">+S221*(M221-J221-N221)</f>
        <v>-1.188</v>
      </c>
      <c r="U221" s="16" t="e">
        <f aca="false">+T221/M221</f>
        <v>#DIV/0!</v>
      </c>
      <c r="V221" s="18" t="e">
        <f aca="false">+T221*U221</f>
        <v>#DIV/0!</v>
      </c>
    </row>
    <row r="222" customFormat="false" ht="13.8" hidden="false" customHeight="false" outlineLevel="0" collapsed="false">
      <c r="A222" s="0" t="n">
        <f aca="false">+1+A221</f>
        <v>221</v>
      </c>
      <c r="B222" s="1" t="s">
        <v>22</v>
      </c>
      <c r="C222" s="2" t="s">
        <v>23</v>
      </c>
      <c r="D222" s="0" t="s">
        <v>385</v>
      </c>
      <c r="E222" s="1" t="s">
        <v>386</v>
      </c>
      <c r="F222" s="1" t="n">
        <v>426</v>
      </c>
      <c r="G222" s="1" t="n">
        <v>3</v>
      </c>
      <c r="H222" s="3" t="n">
        <v>0.007</v>
      </c>
      <c r="I222" s="1" t="n">
        <v>0</v>
      </c>
      <c r="K222" s="15"/>
      <c r="L222" s="1" t="n">
        <v>0</v>
      </c>
      <c r="M222" s="5" t="n">
        <v>0</v>
      </c>
      <c r="N222" s="5" t="n">
        <v>9.58</v>
      </c>
      <c r="S222" s="16" t="n">
        <v>0.3</v>
      </c>
      <c r="T222" s="17" t="n">
        <f aca="false">+S222*(M222-J222-N222)</f>
        <v>-2.874</v>
      </c>
      <c r="U222" s="16" t="e">
        <f aca="false">+T222/M222</f>
        <v>#DIV/0!</v>
      </c>
      <c r="V222" s="18" t="e">
        <f aca="false">+T222*U222</f>
        <v>#DIV/0!</v>
      </c>
    </row>
    <row r="223" customFormat="false" ht="13.8" hidden="false" customHeight="false" outlineLevel="0" collapsed="false">
      <c r="A223" s="0" t="n">
        <f aca="false">+1+A222</f>
        <v>222</v>
      </c>
      <c r="B223" s="1" t="s">
        <v>22</v>
      </c>
      <c r="C223" s="2" t="s">
        <v>23</v>
      </c>
      <c r="D223" s="0" t="s">
        <v>387</v>
      </c>
      <c r="E223" s="1" t="s">
        <v>388</v>
      </c>
      <c r="F223" s="1" t="n">
        <v>420</v>
      </c>
      <c r="G223" s="1" t="n">
        <v>1</v>
      </c>
      <c r="H223" s="3" t="n">
        <v>0.0024</v>
      </c>
      <c r="I223" s="1" t="n">
        <v>0</v>
      </c>
      <c r="K223" s="15"/>
      <c r="L223" s="1" t="n">
        <v>0</v>
      </c>
      <c r="M223" s="5" t="n">
        <v>0</v>
      </c>
      <c r="N223" s="5" t="n">
        <v>0.11</v>
      </c>
      <c r="S223" s="16" t="n">
        <v>0.3</v>
      </c>
      <c r="T223" s="17" t="n">
        <f aca="false">+S223*(M223-J223-N223)</f>
        <v>-0.033</v>
      </c>
      <c r="U223" s="16" t="e">
        <f aca="false">+T223/M223</f>
        <v>#DIV/0!</v>
      </c>
      <c r="V223" s="18" t="e">
        <f aca="false">+T223*U223</f>
        <v>#DIV/0!</v>
      </c>
    </row>
    <row r="224" customFormat="false" ht="13.8" hidden="false" customHeight="false" outlineLevel="0" collapsed="false">
      <c r="A224" s="0" t="n">
        <f aca="false">+1+A223</f>
        <v>223</v>
      </c>
      <c r="B224" s="1" t="s">
        <v>22</v>
      </c>
      <c r="C224" s="2" t="s">
        <v>23</v>
      </c>
      <c r="D224" s="0" t="s">
        <v>389</v>
      </c>
      <c r="E224" s="1" t="s">
        <v>390</v>
      </c>
      <c r="F224" s="1" t="n">
        <v>415</v>
      </c>
      <c r="G224" s="1" t="n">
        <v>2</v>
      </c>
      <c r="H224" s="3" t="n">
        <v>0.0048</v>
      </c>
      <c r="I224" s="1" t="n">
        <v>0</v>
      </c>
      <c r="K224" s="15"/>
      <c r="L224" s="1" t="n">
        <v>0</v>
      </c>
      <c r="M224" s="5" t="n">
        <v>0</v>
      </c>
      <c r="N224" s="5" t="n">
        <v>0.75</v>
      </c>
      <c r="S224" s="16" t="n">
        <v>0.3</v>
      </c>
      <c r="T224" s="17" t="n">
        <f aca="false">+S224*(M224-J224-N224)</f>
        <v>-0.225</v>
      </c>
      <c r="U224" s="16" t="e">
        <f aca="false">+T224/M224</f>
        <v>#DIV/0!</v>
      </c>
      <c r="V224" s="18" t="e">
        <f aca="false">+T224*U224</f>
        <v>#DIV/0!</v>
      </c>
    </row>
    <row r="225" customFormat="false" ht="13.8" hidden="false" customHeight="false" outlineLevel="0" collapsed="false">
      <c r="A225" s="0" t="n">
        <f aca="false">+1+A224</f>
        <v>224</v>
      </c>
      <c r="B225" s="1" t="s">
        <v>22</v>
      </c>
      <c r="C225" s="2" t="s">
        <v>23</v>
      </c>
      <c r="D225" s="0" t="s">
        <v>391</v>
      </c>
      <c r="E225" s="1" t="s">
        <v>392</v>
      </c>
      <c r="F225" s="1" t="n">
        <v>411</v>
      </c>
      <c r="G225" s="1" t="n">
        <v>2</v>
      </c>
      <c r="H225" s="3" t="n">
        <v>0.0049</v>
      </c>
      <c r="I225" s="1" t="n">
        <v>0</v>
      </c>
      <c r="K225" s="15"/>
      <c r="L225" s="1" t="n">
        <v>0</v>
      </c>
      <c r="M225" s="5" t="n">
        <v>0</v>
      </c>
      <c r="N225" s="5" t="n">
        <v>0.58</v>
      </c>
      <c r="S225" s="16" t="n">
        <v>0.3</v>
      </c>
      <c r="T225" s="17" t="n">
        <f aca="false">+S225*(M225-J225-N225)</f>
        <v>-0.174</v>
      </c>
      <c r="U225" s="16" t="e">
        <f aca="false">+T225/M225</f>
        <v>#DIV/0!</v>
      </c>
      <c r="V225" s="18" t="e">
        <f aca="false">+T225*U225</f>
        <v>#DIV/0!</v>
      </c>
    </row>
    <row r="226" customFormat="false" ht="13.8" hidden="false" customHeight="false" outlineLevel="0" collapsed="false">
      <c r="A226" s="0" t="n">
        <f aca="false">+1+A225</f>
        <v>225</v>
      </c>
      <c r="B226" s="1" t="s">
        <v>22</v>
      </c>
      <c r="C226" s="2" t="s">
        <v>23</v>
      </c>
      <c r="D226" s="0" t="s">
        <v>393</v>
      </c>
      <c r="E226" s="1" t="s">
        <v>394</v>
      </c>
      <c r="F226" s="1" t="n">
        <v>376</v>
      </c>
      <c r="G226" s="1" t="n">
        <v>1</v>
      </c>
      <c r="H226" s="3" t="n">
        <v>0.0027</v>
      </c>
      <c r="I226" s="1" t="n">
        <v>0</v>
      </c>
      <c r="K226" s="15"/>
      <c r="L226" s="1" t="n">
        <v>0</v>
      </c>
      <c r="M226" s="5" t="n">
        <v>0</v>
      </c>
      <c r="N226" s="5" t="n">
        <v>0.74</v>
      </c>
      <c r="S226" s="16" t="n">
        <v>0.3</v>
      </c>
      <c r="T226" s="17" t="n">
        <f aca="false">+S226*(M226-J226-N226)</f>
        <v>-0.222</v>
      </c>
      <c r="U226" s="16" t="e">
        <f aca="false">+T226/M226</f>
        <v>#DIV/0!</v>
      </c>
      <c r="V226" s="18" t="e">
        <f aca="false">+T226*U226</f>
        <v>#DIV/0!</v>
      </c>
    </row>
    <row r="227" customFormat="false" ht="13.8" hidden="false" customHeight="false" outlineLevel="0" collapsed="false">
      <c r="A227" s="0" t="n">
        <f aca="false">+1+A226</f>
        <v>226</v>
      </c>
      <c r="B227" s="1" t="s">
        <v>22</v>
      </c>
      <c r="C227" s="2" t="s">
        <v>23</v>
      </c>
      <c r="D227" s="0" t="s">
        <v>395</v>
      </c>
      <c r="E227" s="1" t="s">
        <v>396</v>
      </c>
      <c r="F227" s="1" t="n">
        <v>372</v>
      </c>
      <c r="G227" s="1" t="n">
        <v>3</v>
      </c>
      <c r="H227" s="3" t="n">
        <v>0.0081</v>
      </c>
      <c r="I227" s="1" t="n">
        <v>0</v>
      </c>
      <c r="K227" s="15"/>
      <c r="L227" s="1" t="n">
        <v>0</v>
      </c>
      <c r="M227" s="5" t="n">
        <v>0</v>
      </c>
      <c r="N227" s="5" t="n">
        <v>12.43</v>
      </c>
      <c r="S227" s="16" t="n">
        <v>0.3</v>
      </c>
      <c r="T227" s="17" t="n">
        <f aca="false">+S227*(M227-J227-N227)</f>
        <v>-3.729</v>
      </c>
      <c r="U227" s="16" t="e">
        <f aca="false">+T227/M227</f>
        <v>#DIV/0!</v>
      </c>
      <c r="V227" s="18" t="e">
        <f aca="false">+T227*U227</f>
        <v>#DIV/0!</v>
      </c>
    </row>
    <row r="228" customFormat="false" ht="13.8" hidden="false" customHeight="false" outlineLevel="0" collapsed="false">
      <c r="A228" s="0" t="n">
        <f aca="false">+1+A227</f>
        <v>227</v>
      </c>
      <c r="B228" s="1" t="s">
        <v>22</v>
      </c>
      <c r="C228" s="2" t="s">
        <v>23</v>
      </c>
      <c r="D228" s="0" t="s">
        <v>397</v>
      </c>
      <c r="E228" s="1" t="s">
        <v>398</v>
      </c>
      <c r="F228" s="1" t="n">
        <v>332</v>
      </c>
      <c r="G228" s="1" t="n">
        <v>4</v>
      </c>
      <c r="H228" s="3" t="n">
        <v>0.012</v>
      </c>
      <c r="I228" s="1" t="n">
        <v>7</v>
      </c>
      <c r="J228" s="4" t="n">
        <v>0.522857142857143</v>
      </c>
      <c r="K228" s="15" t="n">
        <v>1.75</v>
      </c>
      <c r="L228" s="1" t="n">
        <v>7</v>
      </c>
      <c r="M228" s="5" t="n">
        <v>516.26</v>
      </c>
      <c r="N228" s="5" t="n">
        <v>3.66</v>
      </c>
      <c r="O228" s="3" t="n">
        <v>0.0071</v>
      </c>
      <c r="S228" s="16" t="n">
        <v>0.3</v>
      </c>
      <c r="T228" s="17" t="n">
        <f aca="false">+S228*(M228-J228-N228)</f>
        <v>153.623142857143</v>
      </c>
      <c r="U228" s="16" t="n">
        <f aca="false">+T228/M228</f>
        <v>0.297569331067956</v>
      </c>
      <c r="V228" s="18" t="n">
        <f aca="false">+T228*U228</f>
        <v>45.713535856557</v>
      </c>
    </row>
    <row r="229" customFormat="false" ht="13.8" hidden="false" customHeight="false" outlineLevel="0" collapsed="false">
      <c r="A229" s="0" t="n">
        <f aca="false">+1+A228</f>
        <v>228</v>
      </c>
      <c r="B229" s="1" t="s">
        <v>22</v>
      </c>
      <c r="C229" s="2" t="s">
        <v>23</v>
      </c>
      <c r="D229" s="0" t="s">
        <v>399</v>
      </c>
      <c r="E229" s="1" t="s">
        <v>400</v>
      </c>
      <c r="F229" s="1" t="n">
        <v>327</v>
      </c>
      <c r="G229" s="1" t="n">
        <v>4</v>
      </c>
      <c r="H229" s="3" t="n">
        <v>0.0122</v>
      </c>
      <c r="I229" s="1" t="n">
        <v>1</v>
      </c>
      <c r="J229" s="4" t="n">
        <v>3.9</v>
      </c>
      <c r="K229" s="15" t="n">
        <v>0.25</v>
      </c>
      <c r="L229" s="1" t="n">
        <v>1</v>
      </c>
      <c r="M229" s="5" t="n">
        <v>71.94</v>
      </c>
      <c r="N229" s="5" t="n">
        <v>3.9</v>
      </c>
      <c r="O229" s="3" t="n">
        <v>0.0542</v>
      </c>
      <c r="S229" s="16" t="n">
        <v>0.3</v>
      </c>
      <c r="T229" s="17" t="n">
        <f aca="false">+S229*(M229-J229-N229)</f>
        <v>19.242</v>
      </c>
      <c r="U229" s="16" t="n">
        <f aca="false">+T229/M229</f>
        <v>0.267472894078399</v>
      </c>
      <c r="V229" s="18" t="n">
        <f aca="false">+T229*U229</f>
        <v>5.14671342785654</v>
      </c>
    </row>
    <row r="230" customFormat="false" ht="13.8" hidden="false" customHeight="false" outlineLevel="0" collapsed="false">
      <c r="A230" s="0" t="n">
        <f aca="false">+1+A229</f>
        <v>229</v>
      </c>
      <c r="B230" s="1" t="s">
        <v>22</v>
      </c>
      <c r="C230" s="2" t="s">
        <v>23</v>
      </c>
      <c r="D230" s="0" t="s">
        <v>401</v>
      </c>
      <c r="E230" s="1" t="s">
        <v>402</v>
      </c>
      <c r="F230" s="1" t="n">
        <v>315</v>
      </c>
      <c r="G230" s="1" t="n">
        <v>0</v>
      </c>
      <c r="I230" s="1" t="n">
        <v>0</v>
      </c>
      <c r="K230" s="15"/>
      <c r="L230" s="1" t="n">
        <v>0</v>
      </c>
      <c r="M230" s="5" t="n">
        <v>0</v>
      </c>
      <c r="N230" s="5" t="n">
        <v>0</v>
      </c>
      <c r="S230" s="16" t="n">
        <v>0.3</v>
      </c>
      <c r="T230" s="17" t="n">
        <f aca="false">+S230*(M230-J230-N230)</f>
        <v>0</v>
      </c>
      <c r="U230" s="16" t="e">
        <f aca="false">+T230/M230</f>
        <v>#DIV/0!</v>
      </c>
      <c r="V230" s="18" t="e">
        <f aca="false">+T230*U230</f>
        <v>#DIV/0!</v>
      </c>
    </row>
    <row r="231" customFormat="false" ht="13.8" hidden="false" customHeight="false" outlineLevel="0" collapsed="false">
      <c r="A231" s="0" t="n">
        <f aca="false">+1+A230</f>
        <v>230</v>
      </c>
      <c r="B231" s="1" t="s">
        <v>22</v>
      </c>
      <c r="C231" s="2" t="s">
        <v>23</v>
      </c>
      <c r="D231" s="0" t="s">
        <v>403</v>
      </c>
      <c r="E231" s="1" t="s">
        <v>404</v>
      </c>
      <c r="F231" s="1" t="n">
        <v>313</v>
      </c>
      <c r="G231" s="1" t="n">
        <v>8</v>
      </c>
      <c r="H231" s="3" t="n">
        <v>0.0256</v>
      </c>
      <c r="I231" s="1" t="n">
        <v>0</v>
      </c>
      <c r="K231" s="15"/>
      <c r="L231" s="1" t="n">
        <v>0</v>
      </c>
      <c r="M231" s="5" t="n">
        <v>0</v>
      </c>
      <c r="N231" s="5" t="n">
        <v>11.47</v>
      </c>
      <c r="S231" s="16" t="n">
        <v>0.3</v>
      </c>
      <c r="T231" s="17" t="n">
        <f aca="false">+S231*(M231-J231-N231)</f>
        <v>-3.441</v>
      </c>
      <c r="U231" s="16" t="e">
        <f aca="false">+T231/M231</f>
        <v>#DIV/0!</v>
      </c>
      <c r="V231" s="18" t="e">
        <f aca="false">+T231*U231</f>
        <v>#DIV/0!</v>
      </c>
    </row>
    <row r="232" customFormat="false" ht="13.8" hidden="false" customHeight="false" outlineLevel="0" collapsed="false">
      <c r="A232" s="0" t="n">
        <f aca="false">+1+A231</f>
        <v>231</v>
      </c>
      <c r="B232" s="1" t="s">
        <v>22</v>
      </c>
      <c r="C232" s="2" t="s">
        <v>23</v>
      </c>
      <c r="D232" s="0" t="s">
        <v>405</v>
      </c>
      <c r="E232" s="1" t="s">
        <v>406</v>
      </c>
      <c r="F232" s="1" t="n">
        <v>311</v>
      </c>
      <c r="G232" s="1" t="n">
        <v>2</v>
      </c>
      <c r="H232" s="3" t="n">
        <v>0.0064</v>
      </c>
      <c r="I232" s="1" t="n">
        <v>0</v>
      </c>
      <c r="K232" s="15"/>
      <c r="L232" s="1" t="n">
        <v>0</v>
      </c>
      <c r="M232" s="5" t="n">
        <v>0</v>
      </c>
      <c r="N232" s="5" t="n">
        <v>0.93</v>
      </c>
      <c r="S232" s="16" t="n">
        <v>0.3</v>
      </c>
      <c r="T232" s="17" t="n">
        <f aca="false">+S232*(M232-J232-N232)</f>
        <v>-0.279</v>
      </c>
      <c r="U232" s="16" t="e">
        <f aca="false">+T232/M232</f>
        <v>#DIV/0!</v>
      </c>
      <c r="V232" s="18" t="e">
        <f aca="false">+T232*U232</f>
        <v>#DIV/0!</v>
      </c>
    </row>
    <row r="233" customFormat="false" ht="13.8" hidden="false" customHeight="false" outlineLevel="0" collapsed="false">
      <c r="A233" s="0" t="n">
        <f aca="false">+1+A232</f>
        <v>232</v>
      </c>
      <c r="B233" s="1" t="s">
        <v>22</v>
      </c>
      <c r="C233" s="2" t="s">
        <v>23</v>
      </c>
      <c r="D233" s="0" t="s">
        <v>383</v>
      </c>
      <c r="E233" s="1" t="s">
        <v>384</v>
      </c>
      <c r="F233" s="1" t="n">
        <v>304</v>
      </c>
      <c r="G233" s="1" t="n">
        <v>2</v>
      </c>
      <c r="H233" s="3" t="n">
        <v>0.0066</v>
      </c>
      <c r="I233" s="1" t="n">
        <v>0</v>
      </c>
      <c r="K233" s="15"/>
      <c r="L233" s="1" t="n">
        <v>0</v>
      </c>
      <c r="M233" s="5" t="n">
        <v>0</v>
      </c>
      <c r="N233" s="5" t="n">
        <v>6.79</v>
      </c>
      <c r="S233" s="16" t="n">
        <v>0.3</v>
      </c>
      <c r="T233" s="17" t="n">
        <f aca="false">+S233*(M233-J233-N233)</f>
        <v>-2.037</v>
      </c>
      <c r="U233" s="16" t="e">
        <f aca="false">+T233/M233</f>
        <v>#DIV/0!</v>
      </c>
      <c r="V233" s="18" t="e">
        <f aca="false">+T233*U233</f>
        <v>#DIV/0!</v>
      </c>
    </row>
    <row r="234" customFormat="false" ht="13.8" hidden="false" customHeight="false" outlineLevel="0" collapsed="false">
      <c r="A234" s="0" t="n">
        <f aca="false">+1+A233</f>
        <v>233</v>
      </c>
      <c r="B234" s="1" t="s">
        <v>22</v>
      </c>
      <c r="C234" s="2" t="s">
        <v>23</v>
      </c>
      <c r="D234" s="0" t="s">
        <v>407</v>
      </c>
      <c r="E234" s="1" t="s">
        <v>408</v>
      </c>
      <c r="F234" s="1" t="n">
        <v>302</v>
      </c>
      <c r="G234" s="1" t="n">
        <v>1</v>
      </c>
      <c r="H234" s="3" t="n">
        <v>0.0033</v>
      </c>
      <c r="I234" s="1" t="n">
        <v>0</v>
      </c>
      <c r="K234" s="15"/>
      <c r="L234" s="1" t="n">
        <v>0</v>
      </c>
      <c r="M234" s="5" t="n">
        <v>0</v>
      </c>
      <c r="N234" s="5" t="n">
        <v>0.77</v>
      </c>
      <c r="S234" s="16" t="n">
        <v>0.3</v>
      </c>
      <c r="T234" s="17" t="n">
        <f aca="false">+S234*(M234-J234-N234)</f>
        <v>-0.231</v>
      </c>
      <c r="U234" s="16" t="e">
        <f aca="false">+T234/M234</f>
        <v>#DIV/0!</v>
      </c>
      <c r="V234" s="18" t="e">
        <f aca="false">+T234*U234</f>
        <v>#DIV/0!</v>
      </c>
    </row>
    <row r="235" customFormat="false" ht="13.8" hidden="false" customHeight="false" outlineLevel="0" collapsed="false">
      <c r="A235" s="0" t="n">
        <f aca="false">+1+A234</f>
        <v>234</v>
      </c>
      <c r="B235" s="1" t="s">
        <v>22</v>
      </c>
      <c r="C235" s="2" t="s">
        <v>23</v>
      </c>
      <c r="D235" s="0" t="s">
        <v>409</v>
      </c>
      <c r="E235" s="1" t="s">
        <v>410</v>
      </c>
      <c r="F235" s="1" t="n">
        <v>302</v>
      </c>
      <c r="G235" s="1" t="n">
        <v>9</v>
      </c>
      <c r="H235" s="3" t="n">
        <v>0.0298</v>
      </c>
      <c r="I235" s="1" t="n">
        <v>1</v>
      </c>
      <c r="J235" s="4" t="n">
        <v>3.99</v>
      </c>
      <c r="K235" s="15" t="n">
        <v>0.1111</v>
      </c>
      <c r="L235" s="1" t="n">
        <v>1</v>
      </c>
      <c r="M235" s="5" t="n">
        <v>46.45</v>
      </c>
      <c r="N235" s="5" t="n">
        <v>3.99</v>
      </c>
      <c r="O235" s="3" t="n">
        <v>0.0859</v>
      </c>
      <c r="S235" s="16" t="n">
        <v>0.3</v>
      </c>
      <c r="T235" s="17" t="n">
        <f aca="false">+S235*(M235-J235-N235)</f>
        <v>11.541</v>
      </c>
      <c r="U235" s="16" t="n">
        <f aca="false">+T235/M235</f>
        <v>0.248460710441335</v>
      </c>
      <c r="V235" s="18" t="n">
        <f aca="false">+T235*U235</f>
        <v>2.86748505920344</v>
      </c>
    </row>
    <row r="236" customFormat="false" ht="13.8" hidden="false" customHeight="false" outlineLevel="0" collapsed="false">
      <c r="A236" s="0" t="n">
        <f aca="false">+1+A235</f>
        <v>235</v>
      </c>
      <c r="B236" s="1" t="s">
        <v>22</v>
      </c>
      <c r="C236" s="2" t="s">
        <v>23</v>
      </c>
      <c r="D236" s="0" t="s">
        <v>411</v>
      </c>
      <c r="E236" s="1" t="s">
        <v>412</v>
      </c>
      <c r="F236" s="1" t="n">
        <v>292</v>
      </c>
      <c r="G236" s="1" t="n">
        <v>4</v>
      </c>
      <c r="H236" s="3" t="n">
        <v>0.0137</v>
      </c>
      <c r="I236" s="1" t="n">
        <v>0</v>
      </c>
      <c r="K236" s="15"/>
      <c r="L236" s="1" t="n">
        <v>0</v>
      </c>
      <c r="M236" s="5" t="n">
        <v>0</v>
      </c>
      <c r="N236" s="5" t="n">
        <v>0.72</v>
      </c>
      <c r="S236" s="16" t="n">
        <v>0.3</v>
      </c>
      <c r="T236" s="17" t="n">
        <f aca="false">+S236*(M236-J236-N236)</f>
        <v>-0.216</v>
      </c>
      <c r="U236" s="16" t="e">
        <f aca="false">+T236/M236</f>
        <v>#DIV/0!</v>
      </c>
      <c r="V236" s="18" t="e">
        <f aca="false">+T236*U236</f>
        <v>#DIV/0!</v>
      </c>
    </row>
    <row r="237" customFormat="false" ht="13.8" hidden="false" customHeight="false" outlineLevel="0" collapsed="false">
      <c r="A237" s="0" t="n">
        <f aca="false">+1+A236</f>
        <v>236</v>
      </c>
      <c r="B237" s="1" t="s">
        <v>22</v>
      </c>
      <c r="C237" s="2" t="s">
        <v>23</v>
      </c>
      <c r="D237" s="0" t="s">
        <v>46</v>
      </c>
      <c r="E237" s="1" t="s">
        <v>47</v>
      </c>
      <c r="F237" s="1" t="n">
        <v>282</v>
      </c>
      <c r="G237" s="1" t="n">
        <v>1</v>
      </c>
      <c r="H237" s="3" t="n">
        <v>0.0035</v>
      </c>
      <c r="I237" s="1" t="n">
        <v>0</v>
      </c>
      <c r="K237" s="15"/>
      <c r="L237" s="1" t="n">
        <v>0</v>
      </c>
      <c r="M237" s="5" t="n">
        <v>0</v>
      </c>
      <c r="N237" s="5" t="n">
        <v>0.18</v>
      </c>
      <c r="S237" s="16" t="n">
        <v>0.3</v>
      </c>
      <c r="T237" s="17" t="n">
        <f aca="false">+S237*(M237-J237-N237)</f>
        <v>-0.054</v>
      </c>
      <c r="U237" s="16" t="e">
        <f aca="false">+T237/M237</f>
        <v>#DIV/0!</v>
      </c>
      <c r="V237" s="18" t="e">
        <f aca="false">+T237*U237</f>
        <v>#DIV/0!</v>
      </c>
    </row>
    <row r="238" customFormat="false" ht="13.8" hidden="false" customHeight="false" outlineLevel="0" collapsed="false">
      <c r="A238" s="0" t="n">
        <f aca="false">+1+A237</f>
        <v>237</v>
      </c>
      <c r="B238" s="1" t="s">
        <v>22</v>
      </c>
      <c r="C238" s="2" t="s">
        <v>23</v>
      </c>
      <c r="D238" s="0" t="s">
        <v>413</v>
      </c>
      <c r="E238" s="1" t="s">
        <v>414</v>
      </c>
      <c r="F238" s="1" t="n">
        <v>278</v>
      </c>
      <c r="G238" s="1" t="n">
        <v>2</v>
      </c>
      <c r="H238" s="3" t="n">
        <v>0.0072</v>
      </c>
      <c r="I238" s="1" t="n">
        <v>0</v>
      </c>
      <c r="K238" s="15"/>
      <c r="L238" s="1" t="n">
        <v>0</v>
      </c>
      <c r="M238" s="5" t="n">
        <v>0</v>
      </c>
      <c r="N238" s="5" t="n">
        <v>4.89</v>
      </c>
      <c r="S238" s="16" t="n">
        <v>0.3</v>
      </c>
      <c r="T238" s="17" t="n">
        <f aca="false">+S238*(M238-J238-N238)</f>
        <v>-1.467</v>
      </c>
      <c r="U238" s="16" t="e">
        <f aca="false">+T238/M238</f>
        <v>#DIV/0!</v>
      </c>
      <c r="V238" s="18" t="e">
        <f aca="false">+T238*U238</f>
        <v>#DIV/0!</v>
      </c>
    </row>
    <row r="239" customFormat="false" ht="13.8" hidden="false" customHeight="false" outlineLevel="0" collapsed="false">
      <c r="A239" s="0" t="n">
        <f aca="false">+1+A238</f>
        <v>238</v>
      </c>
      <c r="B239" s="1" t="s">
        <v>22</v>
      </c>
      <c r="C239" s="2" t="s">
        <v>23</v>
      </c>
      <c r="D239" s="0" t="s">
        <v>415</v>
      </c>
      <c r="E239" s="1" t="s">
        <v>416</v>
      </c>
      <c r="F239" s="1" t="n">
        <v>272</v>
      </c>
      <c r="G239" s="1" t="n">
        <v>0</v>
      </c>
      <c r="I239" s="1" t="n">
        <v>0</v>
      </c>
      <c r="K239" s="15"/>
      <c r="L239" s="1" t="n">
        <v>0</v>
      </c>
      <c r="M239" s="5" t="n">
        <v>0</v>
      </c>
      <c r="N239" s="5" t="n">
        <v>0</v>
      </c>
      <c r="S239" s="16" t="n">
        <v>0.3</v>
      </c>
      <c r="T239" s="17" t="n">
        <f aca="false">+S239*(M239-J239-N239)</f>
        <v>0</v>
      </c>
      <c r="U239" s="16" t="e">
        <f aca="false">+T239/M239</f>
        <v>#DIV/0!</v>
      </c>
      <c r="V239" s="18" t="e">
        <f aca="false">+T239*U239</f>
        <v>#DIV/0!</v>
      </c>
    </row>
    <row r="240" customFormat="false" ht="13.8" hidden="false" customHeight="false" outlineLevel="0" collapsed="false">
      <c r="A240" s="0" t="n">
        <f aca="false">+1+A239</f>
        <v>239</v>
      </c>
      <c r="B240" s="1" t="s">
        <v>22</v>
      </c>
      <c r="C240" s="2" t="s">
        <v>23</v>
      </c>
      <c r="D240" s="0" t="s">
        <v>417</v>
      </c>
      <c r="E240" s="1" t="s">
        <v>418</v>
      </c>
      <c r="F240" s="1" t="n">
        <v>257</v>
      </c>
      <c r="G240" s="1" t="n">
        <v>1</v>
      </c>
      <c r="H240" s="3" t="n">
        <v>0.0039</v>
      </c>
      <c r="I240" s="1" t="n">
        <v>0</v>
      </c>
      <c r="K240" s="15"/>
      <c r="L240" s="1" t="n">
        <v>0</v>
      </c>
      <c r="M240" s="5" t="n">
        <v>0</v>
      </c>
      <c r="N240" s="5" t="n">
        <v>4.26</v>
      </c>
      <c r="S240" s="16" t="n">
        <v>0.3</v>
      </c>
      <c r="T240" s="17" t="n">
        <f aca="false">+S240*(M240-J240-N240)</f>
        <v>-1.278</v>
      </c>
      <c r="U240" s="16" t="e">
        <f aca="false">+T240/M240</f>
        <v>#DIV/0!</v>
      </c>
      <c r="V240" s="18" t="e">
        <f aca="false">+T240*U240</f>
        <v>#DIV/0!</v>
      </c>
    </row>
    <row r="241" customFormat="false" ht="13.8" hidden="false" customHeight="false" outlineLevel="0" collapsed="false">
      <c r="A241" s="0" t="n">
        <f aca="false">+1+A240</f>
        <v>240</v>
      </c>
      <c r="B241" s="1" t="s">
        <v>22</v>
      </c>
      <c r="C241" s="2" t="s">
        <v>23</v>
      </c>
      <c r="D241" s="0" t="s">
        <v>419</v>
      </c>
      <c r="E241" s="1" t="s">
        <v>420</v>
      </c>
      <c r="F241" s="1" t="n">
        <v>255</v>
      </c>
      <c r="G241" s="1" t="n">
        <v>0</v>
      </c>
      <c r="I241" s="1" t="n">
        <v>0</v>
      </c>
      <c r="K241" s="15"/>
      <c r="L241" s="1" t="n">
        <v>0</v>
      </c>
      <c r="M241" s="5" t="n">
        <v>0</v>
      </c>
      <c r="N241" s="5" t="n">
        <v>0</v>
      </c>
      <c r="S241" s="16" t="n">
        <v>0.3</v>
      </c>
      <c r="T241" s="17" t="n">
        <f aca="false">+S241*(M241-J241-N241)</f>
        <v>0</v>
      </c>
      <c r="U241" s="16" t="e">
        <f aca="false">+T241/M241</f>
        <v>#DIV/0!</v>
      </c>
      <c r="V241" s="18" t="e">
        <f aca="false">+T241*U241</f>
        <v>#DIV/0!</v>
      </c>
    </row>
    <row r="242" customFormat="false" ht="13.8" hidden="false" customHeight="false" outlineLevel="0" collapsed="false">
      <c r="A242" s="0" t="n">
        <f aca="false">+1+A241</f>
        <v>241</v>
      </c>
      <c r="B242" s="1" t="s">
        <v>22</v>
      </c>
      <c r="C242" s="2" t="s">
        <v>23</v>
      </c>
      <c r="D242" s="0" t="s">
        <v>421</v>
      </c>
      <c r="E242" s="1" t="s">
        <v>422</v>
      </c>
      <c r="F242" s="1" t="n">
        <v>251</v>
      </c>
      <c r="G242" s="1" t="n">
        <v>2</v>
      </c>
      <c r="H242" s="3" t="n">
        <v>0.008</v>
      </c>
      <c r="I242" s="1" t="n">
        <v>0</v>
      </c>
      <c r="K242" s="15"/>
      <c r="L242" s="1" t="n">
        <v>0</v>
      </c>
      <c r="M242" s="5" t="n">
        <v>0</v>
      </c>
      <c r="N242" s="5" t="n">
        <v>3.83</v>
      </c>
      <c r="S242" s="16" t="n">
        <v>0.3</v>
      </c>
      <c r="T242" s="17" t="n">
        <f aca="false">+S242*(M242-J242-N242)</f>
        <v>-1.149</v>
      </c>
      <c r="U242" s="16" t="e">
        <f aca="false">+T242/M242</f>
        <v>#DIV/0!</v>
      </c>
      <c r="V242" s="18" t="e">
        <f aca="false">+T242*U242</f>
        <v>#DIV/0!</v>
      </c>
    </row>
    <row r="243" customFormat="false" ht="13.8" hidden="false" customHeight="false" outlineLevel="0" collapsed="false">
      <c r="A243" s="0" t="n">
        <f aca="false">+1+A242</f>
        <v>242</v>
      </c>
      <c r="B243" s="1" t="s">
        <v>22</v>
      </c>
      <c r="C243" s="2" t="s">
        <v>23</v>
      </c>
      <c r="D243" s="0" t="s">
        <v>423</v>
      </c>
      <c r="E243" s="1" t="s">
        <v>424</v>
      </c>
      <c r="F243" s="1" t="n">
        <v>237</v>
      </c>
      <c r="G243" s="1" t="n">
        <v>2</v>
      </c>
      <c r="H243" s="3" t="n">
        <v>0.0084</v>
      </c>
      <c r="I243" s="1" t="n">
        <v>0</v>
      </c>
      <c r="K243" s="15"/>
      <c r="L243" s="1" t="n">
        <v>0</v>
      </c>
      <c r="M243" s="5" t="n">
        <v>0</v>
      </c>
      <c r="N243" s="5" t="n">
        <v>0.83</v>
      </c>
      <c r="S243" s="16" t="n">
        <v>0.3</v>
      </c>
      <c r="T243" s="17" t="n">
        <f aca="false">+S243*(M243-J243-N243)</f>
        <v>-0.249</v>
      </c>
      <c r="U243" s="16" t="e">
        <f aca="false">+T243/M243</f>
        <v>#DIV/0!</v>
      </c>
      <c r="V243" s="18" t="e">
        <f aca="false">+T243*U243</f>
        <v>#DIV/0!</v>
      </c>
    </row>
    <row r="244" customFormat="false" ht="13.8" hidden="false" customHeight="false" outlineLevel="0" collapsed="false">
      <c r="A244" s="0" t="n">
        <f aca="false">+1+A243</f>
        <v>243</v>
      </c>
      <c r="B244" s="1" t="s">
        <v>22</v>
      </c>
      <c r="C244" s="2" t="s">
        <v>23</v>
      </c>
      <c r="D244" s="0" t="s">
        <v>393</v>
      </c>
      <c r="E244" s="1" t="s">
        <v>394</v>
      </c>
      <c r="F244" s="1" t="n">
        <v>223</v>
      </c>
      <c r="G244" s="1" t="n">
        <v>1</v>
      </c>
      <c r="H244" s="3" t="n">
        <v>0.0045</v>
      </c>
      <c r="I244" s="1" t="n">
        <v>0</v>
      </c>
      <c r="K244" s="15"/>
      <c r="L244" s="1" t="n">
        <v>0</v>
      </c>
      <c r="M244" s="5" t="n">
        <v>0</v>
      </c>
      <c r="N244" s="5" t="n">
        <v>0.4</v>
      </c>
      <c r="S244" s="16" t="n">
        <v>0.3</v>
      </c>
      <c r="T244" s="17" t="n">
        <f aca="false">+S244*(M244-J244-N244)</f>
        <v>-0.12</v>
      </c>
      <c r="U244" s="16" t="e">
        <f aca="false">+T244/M244</f>
        <v>#DIV/0!</v>
      </c>
      <c r="V244" s="18" t="e">
        <f aca="false">+T244*U244</f>
        <v>#DIV/0!</v>
      </c>
    </row>
    <row r="245" customFormat="false" ht="13.8" hidden="false" customHeight="false" outlineLevel="0" collapsed="false">
      <c r="A245" s="0" t="n">
        <f aca="false">+1+A244</f>
        <v>244</v>
      </c>
      <c r="B245" s="1" t="s">
        <v>22</v>
      </c>
      <c r="C245" s="2" t="s">
        <v>23</v>
      </c>
      <c r="D245" s="0" t="s">
        <v>425</v>
      </c>
      <c r="E245" s="1" t="s">
        <v>426</v>
      </c>
      <c r="F245" s="1" t="n">
        <v>221</v>
      </c>
      <c r="G245" s="1" t="n">
        <v>0</v>
      </c>
      <c r="I245" s="1" t="n">
        <v>0</v>
      </c>
      <c r="K245" s="15"/>
      <c r="L245" s="1" t="n">
        <v>0</v>
      </c>
      <c r="M245" s="5" t="n">
        <v>0</v>
      </c>
      <c r="N245" s="5" t="n">
        <v>0</v>
      </c>
      <c r="S245" s="16" t="n">
        <v>0.3</v>
      </c>
      <c r="T245" s="17" t="n">
        <f aca="false">+S245*(M245-J245-N245)</f>
        <v>0</v>
      </c>
      <c r="U245" s="16" t="e">
        <f aca="false">+T245/M245</f>
        <v>#DIV/0!</v>
      </c>
      <c r="V245" s="18" t="e">
        <f aca="false">+T245*U245</f>
        <v>#DIV/0!</v>
      </c>
    </row>
    <row r="246" customFormat="false" ht="13.8" hidden="false" customHeight="false" outlineLevel="0" collapsed="false">
      <c r="A246" s="0" t="n">
        <f aca="false">+1+A245</f>
        <v>245</v>
      </c>
      <c r="B246" s="1" t="s">
        <v>22</v>
      </c>
      <c r="C246" s="2" t="s">
        <v>23</v>
      </c>
      <c r="D246" s="0" t="s">
        <v>427</v>
      </c>
      <c r="E246" s="1" t="s">
        <v>428</v>
      </c>
      <c r="F246" s="1" t="n">
        <v>213</v>
      </c>
      <c r="G246" s="1" t="n">
        <v>0</v>
      </c>
      <c r="I246" s="1" t="n">
        <v>0</v>
      </c>
      <c r="K246" s="15"/>
      <c r="L246" s="1" t="n">
        <v>0</v>
      </c>
      <c r="M246" s="5" t="n">
        <v>0</v>
      </c>
      <c r="N246" s="5" t="n">
        <v>0</v>
      </c>
      <c r="S246" s="16" t="n">
        <v>0.3</v>
      </c>
      <c r="T246" s="17" t="n">
        <f aca="false">+S246*(M246-J246-N246)</f>
        <v>0</v>
      </c>
      <c r="U246" s="16" t="e">
        <f aca="false">+T246/M246</f>
        <v>#DIV/0!</v>
      </c>
      <c r="V246" s="18" t="e">
        <f aca="false">+T246*U246</f>
        <v>#DIV/0!</v>
      </c>
    </row>
    <row r="247" customFormat="false" ht="13.8" hidden="false" customHeight="false" outlineLevel="0" collapsed="false">
      <c r="A247" s="0" t="n">
        <f aca="false">+1+A246</f>
        <v>246</v>
      </c>
      <c r="B247" s="1" t="s">
        <v>22</v>
      </c>
      <c r="C247" s="2" t="s">
        <v>23</v>
      </c>
      <c r="D247" s="0" t="s">
        <v>429</v>
      </c>
      <c r="E247" s="1" t="s">
        <v>430</v>
      </c>
      <c r="F247" s="1" t="n">
        <v>186</v>
      </c>
      <c r="G247" s="1" t="n">
        <v>1</v>
      </c>
      <c r="H247" s="3" t="n">
        <v>0.0054</v>
      </c>
      <c r="I247" s="1" t="n">
        <v>0</v>
      </c>
      <c r="K247" s="15"/>
      <c r="L247" s="1" t="n">
        <v>0</v>
      </c>
      <c r="M247" s="5" t="n">
        <v>0</v>
      </c>
      <c r="N247" s="5" t="n">
        <v>0.78</v>
      </c>
      <c r="S247" s="16" t="n">
        <v>0.3</v>
      </c>
      <c r="T247" s="17" t="n">
        <f aca="false">+S247*(M247-J247-N247)</f>
        <v>-0.234</v>
      </c>
      <c r="U247" s="16" t="e">
        <f aca="false">+T247/M247</f>
        <v>#DIV/0!</v>
      </c>
      <c r="V247" s="18" t="e">
        <f aca="false">+T247*U247</f>
        <v>#DIV/0!</v>
      </c>
    </row>
    <row r="248" customFormat="false" ht="13.8" hidden="false" customHeight="false" outlineLevel="0" collapsed="false">
      <c r="A248" s="0" t="n">
        <f aca="false">+1+A247</f>
        <v>247</v>
      </c>
      <c r="B248" s="1" t="s">
        <v>22</v>
      </c>
      <c r="C248" s="2" t="s">
        <v>23</v>
      </c>
      <c r="D248" s="0" t="s">
        <v>431</v>
      </c>
      <c r="E248" s="1" t="s">
        <v>432</v>
      </c>
      <c r="F248" s="1" t="n">
        <v>175</v>
      </c>
      <c r="G248" s="1" t="n">
        <v>1</v>
      </c>
      <c r="H248" s="3" t="n">
        <v>0.0057</v>
      </c>
      <c r="I248" s="1" t="n">
        <v>0</v>
      </c>
      <c r="K248" s="15"/>
      <c r="L248" s="1" t="n">
        <v>0</v>
      </c>
      <c r="M248" s="5" t="n">
        <v>0</v>
      </c>
      <c r="N248" s="5" t="n">
        <v>2.12</v>
      </c>
      <c r="S248" s="16" t="n">
        <v>0.3</v>
      </c>
      <c r="T248" s="17" t="n">
        <f aca="false">+S248*(M248-J248-N248)</f>
        <v>-0.636</v>
      </c>
      <c r="U248" s="16" t="e">
        <f aca="false">+T248/M248</f>
        <v>#DIV/0!</v>
      </c>
      <c r="V248" s="18" t="e">
        <f aca="false">+T248*U248</f>
        <v>#DIV/0!</v>
      </c>
    </row>
    <row r="249" customFormat="false" ht="13.8" hidden="false" customHeight="false" outlineLevel="0" collapsed="false">
      <c r="A249" s="0" t="n">
        <f aca="false">+1+A248</f>
        <v>248</v>
      </c>
      <c r="B249" s="1" t="s">
        <v>22</v>
      </c>
      <c r="C249" s="2" t="s">
        <v>23</v>
      </c>
      <c r="D249" s="0" t="s">
        <v>433</v>
      </c>
      <c r="E249" s="1" t="s">
        <v>434</v>
      </c>
      <c r="F249" s="1" t="n">
        <v>172</v>
      </c>
      <c r="G249" s="1" t="n">
        <v>1</v>
      </c>
      <c r="H249" s="3" t="n">
        <v>0.0058</v>
      </c>
      <c r="I249" s="1" t="n">
        <v>0</v>
      </c>
      <c r="K249" s="15"/>
      <c r="L249" s="1" t="n">
        <v>0</v>
      </c>
      <c r="M249" s="5" t="n">
        <v>0</v>
      </c>
      <c r="N249" s="5" t="n">
        <v>1.99</v>
      </c>
      <c r="S249" s="16" t="n">
        <v>0.3</v>
      </c>
      <c r="T249" s="17" t="n">
        <f aca="false">+S249*(M249-J249-N249)</f>
        <v>-0.597</v>
      </c>
      <c r="U249" s="16" t="e">
        <f aca="false">+T249/M249</f>
        <v>#DIV/0!</v>
      </c>
      <c r="V249" s="18" t="e">
        <f aca="false">+T249*U249</f>
        <v>#DIV/0!</v>
      </c>
    </row>
    <row r="250" customFormat="false" ht="13.8" hidden="false" customHeight="false" outlineLevel="0" collapsed="false">
      <c r="A250" s="0" t="n">
        <f aca="false">+1+A249</f>
        <v>249</v>
      </c>
      <c r="B250" s="1" t="s">
        <v>22</v>
      </c>
      <c r="C250" s="2" t="s">
        <v>23</v>
      </c>
      <c r="D250" s="0" t="s">
        <v>435</v>
      </c>
      <c r="E250" s="1" t="s">
        <v>436</v>
      </c>
      <c r="F250" s="1" t="n">
        <v>167</v>
      </c>
      <c r="G250" s="1" t="n">
        <v>1</v>
      </c>
      <c r="H250" s="3" t="n">
        <v>0.006</v>
      </c>
      <c r="I250" s="1" t="n">
        <v>0</v>
      </c>
      <c r="K250" s="15"/>
      <c r="L250" s="1" t="n">
        <v>0</v>
      </c>
      <c r="M250" s="5" t="n">
        <v>0</v>
      </c>
      <c r="N250" s="5" t="n">
        <v>0.31</v>
      </c>
      <c r="S250" s="16" t="n">
        <v>0.3</v>
      </c>
      <c r="T250" s="17" t="n">
        <f aca="false">+S250*(M250-J250-N250)</f>
        <v>-0.093</v>
      </c>
      <c r="U250" s="16" t="e">
        <f aca="false">+T250/M250</f>
        <v>#DIV/0!</v>
      </c>
      <c r="V250" s="18" t="e">
        <f aca="false">+T250*U250</f>
        <v>#DIV/0!</v>
      </c>
    </row>
    <row r="251" customFormat="false" ht="13.8" hidden="false" customHeight="false" outlineLevel="0" collapsed="false">
      <c r="A251" s="0" t="n">
        <f aca="false">+1+A250</f>
        <v>250</v>
      </c>
      <c r="B251" s="1" t="s">
        <v>22</v>
      </c>
      <c r="C251" s="2" t="s">
        <v>23</v>
      </c>
      <c r="D251" s="0" t="s">
        <v>437</v>
      </c>
      <c r="E251" s="1" t="s">
        <v>438</v>
      </c>
      <c r="F251" s="1" t="n">
        <v>166</v>
      </c>
      <c r="G251" s="1" t="n">
        <v>0</v>
      </c>
      <c r="I251" s="1" t="n">
        <v>0</v>
      </c>
      <c r="K251" s="15"/>
      <c r="L251" s="1" t="n">
        <v>0</v>
      </c>
      <c r="M251" s="5" t="n">
        <v>0</v>
      </c>
      <c r="N251" s="5" t="n">
        <v>0</v>
      </c>
      <c r="S251" s="16" t="n">
        <v>0.3</v>
      </c>
      <c r="T251" s="17" t="n">
        <f aca="false">+S251*(M251-J251-N251)</f>
        <v>0</v>
      </c>
      <c r="U251" s="16" t="e">
        <f aca="false">+T251/M251</f>
        <v>#DIV/0!</v>
      </c>
      <c r="V251" s="18" t="e">
        <f aca="false">+T251*U251</f>
        <v>#DIV/0!</v>
      </c>
    </row>
    <row r="252" customFormat="false" ht="13.8" hidden="false" customHeight="false" outlineLevel="0" collapsed="false">
      <c r="A252" s="0" t="n">
        <f aca="false">+1+A251</f>
        <v>251</v>
      </c>
      <c r="B252" s="1" t="s">
        <v>22</v>
      </c>
      <c r="C252" s="2" t="s">
        <v>23</v>
      </c>
      <c r="D252" s="0" t="s">
        <v>439</v>
      </c>
      <c r="E252" s="1" t="s">
        <v>440</v>
      </c>
      <c r="F252" s="1" t="n">
        <v>150</v>
      </c>
      <c r="G252" s="1" t="n">
        <v>0</v>
      </c>
      <c r="I252" s="1" t="n">
        <v>0</v>
      </c>
      <c r="K252" s="15"/>
      <c r="L252" s="1" t="n">
        <v>0</v>
      </c>
      <c r="M252" s="5" t="n">
        <v>0</v>
      </c>
      <c r="N252" s="5" t="n">
        <v>0</v>
      </c>
      <c r="S252" s="16" t="n">
        <v>0.3</v>
      </c>
      <c r="T252" s="17" t="n">
        <f aca="false">+S252*(M252-J252-N252)</f>
        <v>0</v>
      </c>
      <c r="U252" s="16" t="e">
        <f aca="false">+T252/M252</f>
        <v>#DIV/0!</v>
      </c>
      <c r="V252" s="18" t="e">
        <f aca="false">+T252*U252</f>
        <v>#DIV/0!</v>
      </c>
    </row>
    <row r="253" customFormat="false" ht="13.8" hidden="false" customHeight="false" outlineLevel="0" collapsed="false">
      <c r="A253" s="0" t="n">
        <f aca="false">+1+A252</f>
        <v>252</v>
      </c>
      <c r="B253" s="1" t="s">
        <v>22</v>
      </c>
      <c r="C253" s="2" t="s">
        <v>23</v>
      </c>
      <c r="D253" s="0" t="s">
        <v>441</v>
      </c>
      <c r="E253" s="1" t="s">
        <v>442</v>
      </c>
      <c r="F253" s="1" t="n">
        <v>135</v>
      </c>
      <c r="G253" s="1" t="n">
        <v>1</v>
      </c>
      <c r="H253" s="3" t="n">
        <v>0.0074</v>
      </c>
      <c r="I253" s="1" t="n">
        <v>0</v>
      </c>
      <c r="K253" s="15"/>
      <c r="L253" s="1" t="n">
        <v>0</v>
      </c>
      <c r="M253" s="5" t="n">
        <v>0</v>
      </c>
      <c r="N253" s="5" t="n">
        <v>1.82</v>
      </c>
      <c r="S253" s="16" t="n">
        <v>0.3</v>
      </c>
      <c r="T253" s="17" t="n">
        <f aca="false">+S253*(M253-J253-N253)</f>
        <v>-0.546</v>
      </c>
      <c r="U253" s="16" t="e">
        <f aca="false">+T253/M253</f>
        <v>#DIV/0!</v>
      </c>
      <c r="V253" s="18" t="e">
        <f aca="false">+T253*U253</f>
        <v>#DIV/0!</v>
      </c>
    </row>
    <row r="254" customFormat="false" ht="13.8" hidden="false" customHeight="false" outlineLevel="0" collapsed="false">
      <c r="A254" s="0" t="n">
        <f aca="false">+1+A253</f>
        <v>253</v>
      </c>
      <c r="B254" s="1" t="s">
        <v>22</v>
      </c>
      <c r="C254" s="2" t="s">
        <v>23</v>
      </c>
      <c r="D254" s="0" t="s">
        <v>443</v>
      </c>
      <c r="E254" s="1" t="s">
        <v>444</v>
      </c>
      <c r="F254" s="1" t="n">
        <v>125</v>
      </c>
      <c r="G254" s="1" t="n">
        <v>0</v>
      </c>
      <c r="I254" s="1" t="n">
        <v>0</v>
      </c>
      <c r="K254" s="15"/>
      <c r="L254" s="1" t="n">
        <v>0</v>
      </c>
      <c r="M254" s="5" t="n">
        <v>0</v>
      </c>
      <c r="N254" s="5" t="n">
        <v>0</v>
      </c>
      <c r="S254" s="16" t="n">
        <v>0.3</v>
      </c>
      <c r="T254" s="17" t="n">
        <f aca="false">+S254*(M254-J254-N254)</f>
        <v>0</v>
      </c>
      <c r="U254" s="16" t="e">
        <f aca="false">+T254/M254</f>
        <v>#DIV/0!</v>
      </c>
      <c r="V254" s="18" t="e">
        <f aca="false">+T254*U254</f>
        <v>#DIV/0!</v>
      </c>
    </row>
    <row r="255" customFormat="false" ht="13.8" hidden="false" customHeight="false" outlineLevel="0" collapsed="false">
      <c r="A255" s="0" t="n">
        <f aca="false">+1+A254</f>
        <v>254</v>
      </c>
      <c r="B255" s="1" t="s">
        <v>22</v>
      </c>
      <c r="C255" s="2" t="s">
        <v>23</v>
      </c>
      <c r="D255" s="0" t="s">
        <v>445</v>
      </c>
      <c r="E255" s="1" t="s">
        <v>446</v>
      </c>
      <c r="F255" s="1" t="n">
        <v>122</v>
      </c>
      <c r="G255" s="1" t="n">
        <v>0</v>
      </c>
      <c r="I255" s="1" t="n">
        <v>0</v>
      </c>
      <c r="K255" s="15"/>
      <c r="L255" s="1" t="n">
        <v>0</v>
      </c>
      <c r="M255" s="5" t="n">
        <v>0</v>
      </c>
      <c r="N255" s="5" t="n">
        <v>0</v>
      </c>
      <c r="S255" s="16" t="n">
        <v>0.3</v>
      </c>
      <c r="T255" s="17" t="n">
        <f aca="false">+S255*(M255-J255-N255)</f>
        <v>0</v>
      </c>
      <c r="U255" s="16" t="e">
        <f aca="false">+T255/M255</f>
        <v>#DIV/0!</v>
      </c>
      <c r="V255" s="18" t="e">
        <f aca="false">+T255*U255</f>
        <v>#DIV/0!</v>
      </c>
    </row>
    <row r="256" customFormat="false" ht="13.8" hidden="false" customHeight="false" outlineLevel="0" collapsed="false">
      <c r="A256" s="0" t="n">
        <f aca="false">+1+A255</f>
        <v>255</v>
      </c>
      <c r="B256" s="1" t="s">
        <v>22</v>
      </c>
      <c r="C256" s="2" t="s">
        <v>23</v>
      </c>
      <c r="D256" s="0" t="s">
        <v>447</v>
      </c>
      <c r="E256" s="1" t="s">
        <v>448</v>
      </c>
      <c r="F256" s="1" t="n">
        <v>118</v>
      </c>
      <c r="G256" s="1" t="n">
        <v>1</v>
      </c>
      <c r="H256" s="3" t="n">
        <v>0.0085</v>
      </c>
      <c r="I256" s="1" t="n">
        <v>0</v>
      </c>
      <c r="K256" s="15"/>
      <c r="L256" s="1" t="n">
        <v>0</v>
      </c>
      <c r="M256" s="5" t="n">
        <v>0</v>
      </c>
      <c r="N256" s="5" t="n">
        <v>0.17</v>
      </c>
      <c r="S256" s="16" t="n">
        <v>0.3</v>
      </c>
      <c r="T256" s="17" t="n">
        <f aca="false">+S256*(M256-J256-N256)</f>
        <v>-0.051</v>
      </c>
      <c r="U256" s="16" t="e">
        <f aca="false">+T256/M256</f>
        <v>#DIV/0!</v>
      </c>
      <c r="V256" s="18" t="e">
        <f aca="false">+T256*U256</f>
        <v>#DIV/0!</v>
      </c>
    </row>
    <row r="257" customFormat="false" ht="13.8" hidden="false" customHeight="false" outlineLevel="0" collapsed="false">
      <c r="A257" s="0" t="n">
        <f aca="false">+1+A256</f>
        <v>256</v>
      </c>
      <c r="B257" s="1" t="s">
        <v>22</v>
      </c>
      <c r="C257" s="2" t="s">
        <v>23</v>
      </c>
      <c r="D257" s="0" t="s">
        <v>449</v>
      </c>
      <c r="E257" s="1" t="s">
        <v>450</v>
      </c>
      <c r="F257" s="1" t="n">
        <v>114</v>
      </c>
      <c r="G257" s="1" t="n">
        <v>0</v>
      </c>
      <c r="I257" s="1" t="n">
        <v>0</v>
      </c>
      <c r="K257" s="15"/>
      <c r="L257" s="1" t="n">
        <v>0</v>
      </c>
      <c r="M257" s="5" t="n">
        <v>0</v>
      </c>
      <c r="N257" s="5" t="n">
        <v>0</v>
      </c>
      <c r="S257" s="16" t="n">
        <v>0.3</v>
      </c>
      <c r="T257" s="17" t="n">
        <f aca="false">+S257*(M257-J257-N257)</f>
        <v>0</v>
      </c>
      <c r="U257" s="16" t="e">
        <f aca="false">+T257/M257</f>
        <v>#DIV/0!</v>
      </c>
      <c r="V257" s="18" t="e">
        <f aca="false">+T257*U257</f>
        <v>#DIV/0!</v>
      </c>
    </row>
    <row r="258" customFormat="false" ht="13.8" hidden="false" customHeight="false" outlineLevel="0" collapsed="false">
      <c r="A258" s="0" t="n">
        <f aca="false">+1+A257</f>
        <v>257</v>
      </c>
      <c r="B258" s="1" t="s">
        <v>22</v>
      </c>
      <c r="C258" s="2" t="s">
        <v>23</v>
      </c>
      <c r="D258" s="0" t="s">
        <v>365</v>
      </c>
      <c r="E258" s="1" t="s">
        <v>366</v>
      </c>
      <c r="F258" s="1" t="n">
        <v>110</v>
      </c>
      <c r="G258" s="1" t="n">
        <v>0</v>
      </c>
      <c r="I258" s="1" t="n">
        <v>0</v>
      </c>
      <c r="K258" s="15"/>
      <c r="L258" s="1" t="n">
        <v>0</v>
      </c>
      <c r="M258" s="5" t="n">
        <v>0</v>
      </c>
      <c r="N258" s="5" t="n">
        <v>0</v>
      </c>
      <c r="S258" s="16" t="n">
        <v>0.3</v>
      </c>
      <c r="T258" s="17" t="n">
        <f aca="false">+S258*(M258-J258-N258)</f>
        <v>0</v>
      </c>
      <c r="U258" s="16" t="e">
        <f aca="false">+T258/M258</f>
        <v>#DIV/0!</v>
      </c>
      <c r="V258" s="18" t="e">
        <f aca="false">+T258*U258</f>
        <v>#DIV/0!</v>
      </c>
    </row>
    <row r="259" customFormat="false" ht="13.8" hidden="false" customHeight="false" outlineLevel="0" collapsed="false">
      <c r="A259" s="0" t="n">
        <f aca="false">+1+A258</f>
        <v>258</v>
      </c>
      <c r="B259" s="1" t="s">
        <v>22</v>
      </c>
      <c r="C259" s="2" t="s">
        <v>23</v>
      </c>
      <c r="D259" s="0" t="s">
        <v>451</v>
      </c>
      <c r="E259" s="1" t="s">
        <v>452</v>
      </c>
      <c r="F259" s="1" t="n">
        <v>102</v>
      </c>
      <c r="G259" s="1" t="n">
        <v>0</v>
      </c>
      <c r="I259" s="1" t="n">
        <v>0</v>
      </c>
      <c r="K259" s="15"/>
      <c r="L259" s="1" t="n">
        <v>0</v>
      </c>
      <c r="M259" s="5" t="n">
        <v>0</v>
      </c>
      <c r="N259" s="5" t="n">
        <v>0</v>
      </c>
      <c r="S259" s="16" t="n">
        <v>0.3</v>
      </c>
      <c r="T259" s="17" t="n">
        <f aca="false">+S259*(M259-J259-N259)</f>
        <v>0</v>
      </c>
      <c r="U259" s="16" t="e">
        <f aca="false">+T259/M259</f>
        <v>#DIV/0!</v>
      </c>
      <c r="V259" s="18" t="e">
        <f aca="false">+T259*U259</f>
        <v>#DIV/0!</v>
      </c>
    </row>
    <row r="260" customFormat="false" ht="13.8" hidden="false" customHeight="false" outlineLevel="0" collapsed="false">
      <c r="A260" s="0" t="n">
        <f aca="false">+1+A259</f>
        <v>259</v>
      </c>
      <c r="B260" s="1" t="s">
        <v>22</v>
      </c>
      <c r="C260" s="2" t="s">
        <v>23</v>
      </c>
      <c r="D260" s="0" t="s">
        <v>453</v>
      </c>
      <c r="E260" s="1" t="s">
        <v>454</v>
      </c>
      <c r="F260" s="1" t="n">
        <v>101</v>
      </c>
      <c r="G260" s="1" t="n">
        <v>0</v>
      </c>
      <c r="I260" s="1" t="n">
        <v>0</v>
      </c>
      <c r="K260" s="15"/>
      <c r="L260" s="1" t="n">
        <v>0</v>
      </c>
      <c r="M260" s="5" t="n">
        <v>0</v>
      </c>
      <c r="N260" s="5" t="n">
        <v>0</v>
      </c>
      <c r="S260" s="16" t="n">
        <v>0.3</v>
      </c>
      <c r="T260" s="17" t="n">
        <f aca="false">+S260*(M260-J260-N260)</f>
        <v>0</v>
      </c>
      <c r="U260" s="16" t="e">
        <f aca="false">+T260/M260</f>
        <v>#DIV/0!</v>
      </c>
      <c r="V260" s="18" t="e">
        <f aca="false">+T260*U260</f>
        <v>#DIV/0!</v>
      </c>
    </row>
    <row r="261" customFormat="false" ht="13.8" hidden="false" customHeight="false" outlineLevel="0" collapsed="false">
      <c r="A261" s="0" t="n">
        <f aca="false">+1+A260</f>
        <v>260</v>
      </c>
      <c r="B261" s="1" t="s">
        <v>22</v>
      </c>
      <c r="C261" s="2" t="s">
        <v>23</v>
      </c>
      <c r="D261" s="0" t="s">
        <v>377</v>
      </c>
      <c r="E261" s="1" t="s">
        <v>378</v>
      </c>
      <c r="F261" s="1" t="n">
        <v>98</v>
      </c>
      <c r="G261" s="1" t="n">
        <v>0</v>
      </c>
      <c r="I261" s="1" t="n">
        <v>0</v>
      </c>
      <c r="K261" s="15"/>
      <c r="L261" s="1" t="n">
        <v>0</v>
      </c>
      <c r="M261" s="5" t="n">
        <v>0</v>
      </c>
      <c r="N261" s="5" t="n">
        <v>0</v>
      </c>
      <c r="S261" s="16" t="n">
        <v>0.3</v>
      </c>
      <c r="T261" s="17" t="n">
        <f aca="false">+S261*(M261-J261-N261)</f>
        <v>0</v>
      </c>
      <c r="U261" s="16" t="e">
        <f aca="false">+T261/M261</f>
        <v>#DIV/0!</v>
      </c>
      <c r="V261" s="18" t="e">
        <f aca="false">+T261*U261</f>
        <v>#DIV/0!</v>
      </c>
    </row>
    <row r="262" customFormat="false" ht="13.8" hidden="false" customHeight="false" outlineLevel="0" collapsed="false">
      <c r="A262" s="0" t="n">
        <f aca="false">+1+A261</f>
        <v>261</v>
      </c>
      <c r="B262" s="1" t="s">
        <v>22</v>
      </c>
      <c r="C262" s="2" t="s">
        <v>23</v>
      </c>
      <c r="D262" s="0" t="s">
        <v>455</v>
      </c>
      <c r="E262" s="1" t="s">
        <v>456</v>
      </c>
      <c r="F262" s="1" t="n">
        <v>93</v>
      </c>
      <c r="G262" s="1" t="n">
        <v>1</v>
      </c>
      <c r="H262" s="3" t="n">
        <v>0.0108</v>
      </c>
      <c r="I262" s="1" t="n">
        <v>0</v>
      </c>
      <c r="K262" s="15"/>
      <c r="L262" s="1" t="n">
        <v>0</v>
      </c>
      <c r="M262" s="5" t="n">
        <v>0</v>
      </c>
      <c r="N262" s="5" t="n">
        <v>2.12</v>
      </c>
      <c r="S262" s="16" t="n">
        <v>0.3</v>
      </c>
      <c r="T262" s="17" t="n">
        <f aca="false">+S262*(M262-J262-N262)</f>
        <v>-0.636</v>
      </c>
      <c r="U262" s="16" t="e">
        <f aca="false">+T262/M262</f>
        <v>#DIV/0!</v>
      </c>
      <c r="V262" s="18" t="e">
        <f aca="false">+T262*U262</f>
        <v>#DIV/0!</v>
      </c>
    </row>
    <row r="263" customFormat="false" ht="13.8" hidden="false" customHeight="false" outlineLevel="0" collapsed="false">
      <c r="A263" s="0" t="n">
        <f aca="false">+1+A262</f>
        <v>262</v>
      </c>
      <c r="B263" s="1" t="s">
        <v>22</v>
      </c>
      <c r="C263" s="2" t="s">
        <v>23</v>
      </c>
      <c r="D263" s="0" t="s">
        <v>455</v>
      </c>
      <c r="E263" s="1" t="s">
        <v>456</v>
      </c>
      <c r="F263" s="1" t="n">
        <v>80</v>
      </c>
      <c r="G263" s="1" t="n">
        <v>0</v>
      </c>
      <c r="I263" s="1" t="n">
        <v>0</v>
      </c>
      <c r="K263" s="15"/>
      <c r="L263" s="1" t="n">
        <v>0</v>
      </c>
      <c r="M263" s="5" t="n">
        <v>0</v>
      </c>
      <c r="N263" s="5" t="n">
        <v>0</v>
      </c>
      <c r="S263" s="16" t="n">
        <v>0.3</v>
      </c>
      <c r="T263" s="17" t="n">
        <f aca="false">+S263*(M263-J263-N263)</f>
        <v>0</v>
      </c>
      <c r="U263" s="16" t="e">
        <f aca="false">+T263/M263</f>
        <v>#DIV/0!</v>
      </c>
      <c r="V263" s="18" t="e">
        <f aca="false">+T263*U263</f>
        <v>#DIV/0!</v>
      </c>
    </row>
    <row r="264" customFormat="false" ht="13.8" hidden="false" customHeight="false" outlineLevel="0" collapsed="false">
      <c r="A264" s="0" t="n">
        <f aca="false">+1+A263</f>
        <v>263</v>
      </c>
      <c r="B264" s="1" t="s">
        <v>22</v>
      </c>
      <c r="C264" s="2" t="s">
        <v>23</v>
      </c>
      <c r="D264" s="0" t="s">
        <v>457</v>
      </c>
      <c r="E264" s="1" t="s">
        <v>458</v>
      </c>
      <c r="F264" s="1" t="n">
        <v>72</v>
      </c>
      <c r="G264" s="1" t="n">
        <v>1</v>
      </c>
      <c r="H264" s="3" t="n">
        <v>0.0139</v>
      </c>
      <c r="I264" s="1" t="n">
        <v>0</v>
      </c>
      <c r="K264" s="15"/>
      <c r="L264" s="1" t="n">
        <v>0</v>
      </c>
      <c r="M264" s="5" t="n">
        <v>0</v>
      </c>
      <c r="N264" s="5" t="n">
        <v>0.2</v>
      </c>
      <c r="S264" s="16" t="n">
        <v>0.3</v>
      </c>
      <c r="T264" s="17" t="n">
        <f aca="false">+S264*(M264-J264-N264)</f>
        <v>-0.06</v>
      </c>
      <c r="U264" s="16" t="e">
        <f aca="false">+T264/M264</f>
        <v>#DIV/0!</v>
      </c>
      <c r="V264" s="18" t="e">
        <f aca="false">+T264*U264</f>
        <v>#DIV/0!</v>
      </c>
    </row>
    <row r="265" customFormat="false" ht="13.8" hidden="false" customHeight="false" outlineLevel="0" collapsed="false">
      <c r="A265" s="0" t="n">
        <f aca="false">+1+A264</f>
        <v>264</v>
      </c>
      <c r="B265" s="1" t="s">
        <v>22</v>
      </c>
      <c r="C265" s="2" t="s">
        <v>23</v>
      </c>
      <c r="D265" s="0" t="s">
        <v>459</v>
      </c>
      <c r="E265" s="1" t="s">
        <v>460</v>
      </c>
      <c r="F265" s="1" t="n">
        <v>54</v>
      </c>
      <c r="G265" s="1" t="n">
        <v>0</v>
      </c>
      <c r="I265" s="1" t="n">
        <v>0</v>
      </c>
      <c r="K265" s="15"/>
      <c r="L265" s="1" t="n">
        <v>0</v>
      </c>
      <c r="M265" s="5" t="n">
        <v>0</v>
      </c>
      <c r="N265" s="5" t="n">
        <v>0</v>
      </c>
      <c r="S265" s="16" t="n">
        <v>0.3</v>
      </c>
      <c r="T265" s="17" t="n">
        <f aca="false">+S265*(M265-J265-N265)</f>
        <v>0</v>
      </c>
      <c r="U265" s="16" t="e">
        <f aca="false">+T265/M265</f>
        <v>#DIV/0!</v>
      </c>
      <c r="V265" s="18" t="e">
        <f aca="false">+T265*U265</f>
        <v>#DIV/0!</v>
      </c>
    </row>
    <row r="266" customFormat="false" ht="13.8" hidden="false" customHeight="false" outlineLevel="0" collapsed="false">
      <c r="A266" s="0" t="n">
        <f aca="false">+1+A265</f>
        <v>265</v>
      </c>
      <c r="B266" s="1" t="s">
        <v>22</v>
      </c>
      <c r="C266" s="2" t="s">
        <v>23</v>
      </c>
      <c r="D266" s="0" t="s">
        <v>461</v>
      </c>
      <c r="E266" s="1" t="s">
        <v>462</v>
      </c>
      <c r="F266" s="1" t="n">
        <v>47</v>
      </c>
      <c r="G266" s="1" t="n">
        <v>0</v>
      </c>
      <c r="I266" s="1" t="n">
        <v>0</v>
      </c>
      <c r="K266" s="15"/>
      <c r="L266" s="1" t="n">
        <v>0</v>
      </c>
      <c r="M266" s="5" t="n">
        <v>0</v>
      </c>
      <c r="N266" s="5" t="n">
        <v>0</v>
      </c>
      <c r="S266" s="16" t="n">
        <v>0.3</v>
      </c>
      <c r="T266" s="17" t="n">
        <f aca="false">+S266*(M266-J266-N266)</f>
        <v>0</v>
      </c>
      <c r="U266" s="16" t="e">
        <f aca="false">+T266/M266</f>
        <v>#DIV/0!</v>
      </c>
      <c r="V266" s="18" t="e">
        <f aca="false">+T266*U266</f>
        <v>#DIV/0!</v>
      </c>
    </row>
    <row r="267" customFormat="false" ht="13.8" hidden="false" customHeight="false" outlineLevel="0" collapsed="false">
      <c r="A267" s="0" t="n">
        <f aca="false">+1+A266</f>
        <v>266</v>
      </c>
      <c r="B267" s="1" t="s">
        <v>22</v>
      </c>
      <c r="C267" s="2" t="s">
        <v>23</v>
      </c>
      <c r="D267" s="0" t="s">
        <v>463</v>
      </c>
      <c r="E267" s="1" t="s">
        <v>464</v>
      </c>
      <c r="F267" s="1" t="n">
        <v>45</v>
      </c>
      <c r="G267" s="1" t="n">
        <v>0</v>
      </c>
      <c r="I267" s="1" t="n">
        <v>0</v>
      </c>
      <c r="K267" s="15"/>
      <c r="L267" s="1" t="n">
        <v>0</v>
      </c>
      <c r="M267" s="5" t="n">
        <v>0</v>
      </c>
      <c r="N267" s="5" t="n">
        <v>0</v>
      </c>
      <c r="S267" s="16" t="n">
        <v>0.3</v>
      </c>
      <c r="T267" s="17" t="n">
        <f aca="false">+S267*(M267-J267-N267)</f>
        <v>0</v>
      </c>
      <c r="U267" s="16" t="e">
        <f aca="false">+T267/M267</f>
        <v>#DIV/0!</v>
      </c>
      <c r="V267" s="18" t="e">
        <f aca="false">+T267*U267</f>
        <v>#DIV/0!</v>
      </c>
    </row>
    <row r="268" customFormat="false" ht="13.8" hidden="false" customHeight="false" outlineLevel="0" collapsed="false">
      <c r="A268" s="0" t="n">
        <f aca="false">+1+A267</f>
        <v>267</v>
      </c>
      <c r="B268" s="1" t="s">
        <v>22</v>
      </c>
      <c r="C268" s="2" t="s">
        <v>23</v>
      </c>
      <c r="D268" s="0" t="s">
        <v>465</v>
      </c>
      <c r="E268" s="1" t="s">
        <v>466</v>
      </c>
      <c r="F268" s="1" t="n">
        <v>33</v>
      </c>
      <c r="G268" s="1" t="n">
        <v>0</v>
      </c>
      <c r="I268" s="1" t="n">
        <v>0</v>
      </c>
      <c r="K268" s="15"/>
      <c r="L268" s="1" t="n">
        <v>0</v>
      </c>
      <c r="M268" s="5" t="n">
        <v>0</v>
      </c>
      <c r="N268" s="5" t="n">
        <v>0</v>
      </c>
      <c r="S268" s="16" t="n">
        <v>0.3</v>
      </c>
      <c r="T268" s="17" t="n">
        <f aca="false">+S268*(M268-J268-N268)</f>
        <v>0</v>
      </c>
      <c r="U268" s="16" t="e">
        <f aca="false">+T268/M268</f>
        <v>#DIV/0!</v>
      </c>
      <c r="V268" s="18" t="e">
        <f aca="false">+T268*U268</f>
        <v>#DIV/0!</v>
      </c>
    </row>
    <row r="269" customFormat="false" ht="13.8" hidden="false" customHeight="false" outlineLevel="0" collapsed="false">
      <c r="A269" s="0" t="n">
        <f aca="false">+1+A268</f>
        <v>268</v>
      </c>
      <c r="B269" s="1" t="s">
        <v>22</v>
      </c>
      <c r="C269" s="2" t="s">
        <v>23</v>
      </c>
      <c r="D269" s="0" t="s">
        <v>215</v>
      </c>
      <c r="E269" s="1" t="s">
        <v>216</v>
      </c>
      <c r="F269" s="1" t="n">
        <v>25</v>
      </c>
      <c r="G269" s="1" t="n">
        <v>0</v>
      </c>
      <c r="I269" s="1" t="n">
        <v>0</v>
      </c>
      <c r="K269" s="15"/>
      <c r="L269" s="1" t="n">
        <v>0</v>
      </c>
      <c r="M269" s="5" t="n">
        <v>0</v>
      </c>
      <c r="N269" s="5" t="n">
        <v>0</v>
      </c>
      <c r="S269" s="16" t="n">
        <v>0.3</v>
      </c>
      <c r="T269" s="17" t="n">
        <f aca="false">+S269*(M269-J269-N269)</f>
        <v>0</v>
      </c>
      <c r="U269" s="16" t="e">
        <f aca="false">+T269/M269</f>
        <v>#DIV/0!</v>
      </c>
      <c r="V269" s="18" t="e">
        <f aca="false">+T269*U269</f>
        <v>#DIV/0!</v>
      </c>
    </row>
    <row r="270" customFormat="false" ht="13.8" hidden="false" customHeight="false" outlineLevel="0" collapsed="false">
      <c r="A270" s="0" t="n">
        <f aca="false">+1+A269</f>
        <v>269</v>
      </c>
      <c r="B270" s="1" t="s">
        <v>22</v>
      </c>
      <c r="C270" s="2" t="s">
        <v>23</v>
      </c>
      <c r="D270" s="0" t="s">
        <v>425</v>
      </c>
      <c r="E270" s="1" t="s">
        <v>426</v>
      </c>
      <c r="F270" s="1" t="n">
        <v>19</v>
      </c>
      <c r="G270" s="1" t="n">
        <v>0</v>
      </c>
      <c r="I270" s="1" t="n">
        <v>0</v>
      </c>
      <c r="K270" s="15"/>
      <c r="L270" s="1" t="n">
        <v>0</v>
      </c>
      <c r="M270" s="5" t="n">
        <v>0</v>
      </c>
      <c r="N270" s="5" t="n">
        <v>0</v>
      </c>
      <c r="S270" s="16" t="n">
        <v>0.3</v>
      </c>
      <c r="T270" s="17" t="n">
        <f aca="false">+S270*(M270-J270-N270)</f>
        <v>0</v>
      </c>
      <c r="U270" s="16" t="e">
        <f aca="false">+T270/M270</f>
        <v>#DIV/0!</v>
      </c>
      <c r="V270" s="18" t="e">
        <f aca="false">+T270*U270</f>
        <v>#DIV/0!</v>
      </c>
    </row>
    <row r="271" customFormat="false" ht="13.8" hidden="false" customHeight="false" outlineLevel="0" collapsed="false">
      <c r="A271" s="0" t="n">
        <f aca="false">+1+A270</f>
        <v>270</v>
      </c>
      <c r="B271" s="1" t="s">
        <v>22</v>
      </c>
      <c r="C271" s="2" t="s">
        <v>23</v>
      </c>
      <c r="D271" s="0" t="s">
        <v>467</v>
      </c>
      <c r="E271" s="1" t="s">
        <v>468</v>
      </c>
      <c r="F271" s="1" t="n">
        <v>17</v>
      </c>
      <c r="G271" s="1" t="n">
        <v>0</v>
      </c>
      <c r="I271" s="1" t="n">
        <v>0</v>
      </c>
      <c r="K271" s="15"/>
      <c r="L271" s="1" t="n">
        <v>0</v>
      </c>
      <c r="M271" s="5" t="n">
        <v>0</v>
      </c>
      <c r="N271" s="5" t="n">
        <v>0</v>
      </c>
      <c r="S271" s="16" t="n">
        <v>0.3</v>
      </c>
      <c r="T271" s="17" t="n">
        <f aca="false">+S271*(M271-J271-N271)</f>
        <v>0</v>
      </c>
      <c r="U271" s="16" t="e">
        <f aca="false">+T271/M271</f>
        <v>#DIV/0!</v>
      </c>
      <c r="V271" s="18" t="e">
        <f aca="false">+T271*U271</f>
        <v>#DIV/0!</v>
      </c>
    </row>
    <row r="272" customFormat="false" ht="13.8" hidden="false" customHeight="false" outlineLevel="0" collapsed="false">
      <c r="A272" s="0" t="n">
        <f aca="false">+1+A271</f>
        <v>271</v>
      </c>
      <c r="B272" s="1" t="s">
        <v>22</v>
      </c>
      <c r="C272" s="2" t="s">
        <v>23</v>
      </c>
      <c r="D272" s="0" t="s">
        <v>433</v>
      </c>
      <c r="E272" s="1" t="s">
        <v>434</v>
      </c>
      <c r="F272" s="1" t="n">
        <v>11</v>
      </c>
      <c r="G272" s="1" t="n">
        <v>0</v>
      </c>
      <c r="I272" s="1" t="n">
        <v>0</v>
      </c>
      <c r="K272" s="15"/>
      <c r="L272" s="1" t="n">
        <v>0</v>
      </c>
      <c r="M272" s="5" t="n">
        <v>0</v>
      </c>
      <c r="N272" s="5" t="n">
        <v>0</v>
      </c>
      <c r="S272" s="16" t="n">
        <v>0.3</v>
      </c>
      <c r="T272" s="17" t="n">
        <f aca="false">+S272*(M272-J272-N272)</f>
        <v>0</v>
      </c>
      <c r="U272" s="16" t="e">
        <f aca="false">+T272/M272</f>
        <v>#DIV/0!</v>
      </c>
      <c r="V272" s="18" t="e">
        <f aca="false">+T272*U272</f>
        <v>#DIV/0!</v>
      </c>
    </row>
    <row r="273" customFormat="false" ht="13.8" hidden="false" customHeight="false" outlineLevel="0" collapsed="false">
      <c r="A273" s="0" t="n">
        <f aca="false">+1+A272</f>
        <v>272</v>
      </c>
      <c r="B273" s="1" t="s">
        <v>22</v>
      </c>
      <c r="C273" s="2" t="s">
        <v>23</v>
      </c>
      <c r="D273" s="0" t="s">
        <v>469</v>
      </c>
      <c r="E273" s="1" t="s">
        <v>470</v>
      </c>
      <c r="F273" s="1" t="n">
        <v>7</v>
      </c>
      <c r="G273" s="1" t="n">
        <v>0</v>
      </c>
      <c r="I273" s="1" t="n">
        <v>0</v>
      </c>
      <c r="K273" s="15"/>
      <c r="L273" s="1" t="n">
        <v>0</v>
      </c>
      <c r="M273" s="5" t="n">
        <v>0</v>
      </c>
      <c r="N273" s="5" t="n">
        <v>0</v>
      </c>
      <c r="S273" s="16" t="n">
        <v>0.3</v>
      </c>
      <c r="T273" s="17" t="n">
        <f aca="false">+S273*(M273-J273-N273)</f>
        <v>0</v>
      </c>
      <c r="U273" s="16" t="e">
        <f aca="false">+T273/M273</f>
        <v>#DIV/0!</v>
      </c>
      <c r="V273" s="18" t="e">
        <f aca="false">+T273*U273</f>
        <v>#DIV/0!</v>
      </c>
    </row>
    <row r="274" customFormat="false" ht="13.8" hidden="false" customHeight="false" outlineLevel="0" collapsed="false">
      <c r="A274" s="0" t="n">
        <f aca="false">+1+A273</f>
        <v>273</v>
      </c>
      <c r="B274" s="1" t="s">
        <v>22</v>
      </c>
      <c r="C274" s="2" t="s">
        <v>23</v>
      </c>
      <c r="D274" s="0" t="s">
        <v>431</v>
      </c>
      <c r="E274" s="1" t="s">
        <v>432</v>
      </c>
      <c r="F274" s="1" t="n">
        <v>6</v>
      </c>
      <c r="G274" s="1" t="n">
        <v>0</v>
      </c>
      <c r="I274" s="1" t="n">
        <v>0</v>
      </c>
      <c r="K274" s="15"/>
      <c r="L274" s="1" t="n">
        <v>0</v>
      </c>
      <c r="M274" s="5" t="n">
        <v>0</v>
      </c>
      <c r="N274" s="5" t="n">
        <v>0</v>
      </c>
      <c r="S274" s="16" t="n">
        <v>0.3</v>
      </c>
      <c r="T274" s="17" t="n">
        <f aca="false">+S274*(M274-J274-N274)</f>
        <v>0</v>
      </c>
      <c r="U274" s="16" t="e">
        <f aca="false">+T274/M274</f>
        <v>#DIV/0!</v>
      </c>
      <c r="V274" s="18" t="e">
        <f aca="false">+T274*U274</f>
        <v>#DIV/0!</v>
      </c>
    </row>
    <row r="275" customFormat="false" ht="13.8" hidden="false" customHeight="false" outlineLevel="0" collapsed="false">
      <c r="A275" s="0" t="n">
        <f aca="false">+1+A274</f>
        <v>274</v>
      </c>
      <c r="B275" s="1" t="s">
        <v>22</v>
      </c>
      <c r="C275" s="2" t="s">
        <v>23</v>
      </c>
      <c r="D275" s="0" t="s">
        <v>26</v>
      </c>
      <c r="E275" s="1" t="s">
        <v>27</v>
      </c>
      <c r="F275" s="1" t="n">
        <v>3</v>
      </c>
      <c r="G275" s="1" t="n">
        <v>0</v>
      </c>
      <c r="I275" s="1" t="n">
        <v>0</v>
      </c>
      <c r="K275" s="15"/>
      <c r="L275" s="1" t="n">
        <v>0</v>
      </c>
      <c r="M275" s="5" t="n">
        <v>0</v>
      </c>
      <c r="N275" s="5" t="n">
        <v>0</v>
      </c>
      <c r="S275" s="16" t="n">
        <v>0.3</v>
      </c>
      <c r="T275" s="17" t="n">
        <f aca="false">+S275*(M275-J275-N275)</f>
        <v>0</v>
      </c>
      <c r="U275" s="16" t="e">
        <f aca="false">+T275/M275</f>
        <v>#DIV/0!</v>
      </c>
      <c r="V275" s="18" t="e">
        <f aca="false">+T275*U275</f>
        <v>#DIV/0!</v>
      </c>
    </row>
    <row r="276" customFormat="false" ht="13.8" hidden="false" customHeight="false" outlineLevel="0" collapsed="false">
      <c r="A276" s="0" t="n">
        <f aca="false">+1+A275</f>
        <v>275</v>
      </c>
      <c r="B276" s="1" t="s">
        <v>22</v>
      </c>
      <c r="C276" s="2" t="s">
        <v>23</v>
      </c>
      <c r="D276" s="0" t="s">
        <v>169</v>
      </c>
      <c r="E276" s="1" t="s">
        <v>170</v>
      </c>
      <c r="F276" s="1" t="n">
        <v>2</v>
      </c>
      <c r="G276" s="1" t="n">
        <v>0</v>
      </c>
      <c r="I276" s="1" t="n">
        <v>0</v>
      </c>
      <c r="K276" s="15"/>
      <c r="L276" s="1" t="n">
        <v>0</v>
      </c>
      <c r="M276" s="5" t="n">
        <v>0</v>
      </c>
      <c r="N276" s="5" t="n">
        <v>0</v>
      </c>
      <c r="S276" s="16" t="n">
        <v>0.3</v>
      </c>
      <c r="T276" s="17" t="n">
        <f aca="false">+S276*(M276-J276-N276)</f>
        <v>0</v>
      </c>
      <c r="U276" s="16" t="e">
        <f aca="false">+T276/M276</f>
        <v>#DIV/0!</v>
      </c>
      <c r="V276" s="18" t="e">
        <f aca="false">+T276*U276</f>
        <v>#DIV/0!</v>
      </c>
    </row>
  </sheetData>
  <autoFilter ref="A1:P276"/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444</TotalTime>
  <Application>LibreOffice/6.4.4.2$Windows_X86_64 LibreOffice_project/3d775be2011f3886db32dfd395a6a6d1ca2630ff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2026-06-22T15:51:14Z</dcterms:created>
  <dc:creator>openpyxl</dc:creator>
  <dc:description/>
  <dc:language>pt-BR</dc:language>
  <cp:lastModifiedBy/>
  <dcterms:modified xsi:type="dcterms:W3CDTF">2026-06-23T18:22:05Z</dcterms:modified>
  <cp:revision>17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