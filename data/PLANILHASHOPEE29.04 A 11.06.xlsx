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Sheet1!$A$1:$V$85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<sst xmlns="http://schemas.openxmlformats.org/spreadsheetml/2006/main" count="418" uniqueCount="195">
  <si>
    <t xml:space="preserve">#</t>
  </si>
  <si>
    <t xml:space="preserve">Loja</t>
  </si>
  <si>
    <t xml:space="preserve">INDEX</t>
  </si>
  <si>
    <t xml:space="preserve">ID do anúncio</t>
  </si>
  <si>
    <t xml:space="preserve">Nome</t>
  </si>
  <si>
    <t xml:space="preserve">Impressões</t>
  </si>
  <si>
    <t xml:space="preserve">Cliques</t>
  </si>
  <si>
    <t xml:space="preserve">CTR</t>
  </si>
  <si>
    <t xml:space="preserve">Convertidos</t>
  </si>
  <si>
    <t xml:space="preserve">$Clicks</t>
  </si>
  <si>
    <t xml:space="preserve">Conversão</t>
  </si>
  <si>
    <t xml:space="preserve">Vendidos</t>
  </si>
  <si>
    <t xml:space="preserve">GMV</t>
  </si>
  <si>
    <t xml:space="preserve">Investimento</t>
  </si>
  <si>
    <t xml:space="preserve">ACOS</t>
  </si>
  <si>
    <t xml:space="preserve">Categoria</t>
  </si>
  <si>
    <t xml:space="preserve">tamanho</t>
  </si>
  <si>
    <t xml:space="preserve">Anunciada</t>
  </si>
  <si>
    <t xml:space="preserve">%l.Medio</t>
  </si>
  <si>
    <t xml:space="preserve">lucro liquido</t>
  </si>
  <si>
    <t xml:space="preserve">%Lliquido</t>
  </si>
  <si>
    <t xml:space="preserve">indice</t>
  </si>
  <si>
    <t xml:space="preserve">QC10</t>
  </si>
  <si>
    <t xml:space="preserve">10 Puzzles Inspirados em Contos de Fada - 60 Peças por Quebra-Cabeça com Embalagem Exclusiva [3]</t>
  </si>
  <si>
    <t xml:space="preserve">3.05%</t>
  </si>
  <si>
    <t xml:space="preserve">3.49%</t>
  </si>
  <si>
    <t xml:space="preserve">Quebra Cabeça</t>
  </si>
  <si>
    <t xml:space="preserve">10 Quebra-Cabeças bíblicos - 60 Peças por Puzzle - Maleta personalizada - Especial Escola Dominical [3]</t>
  </si>
  <si>
    <t xml:space="preserve">2.50%</t>
  </si>
  <si>
    <t xml:space="preserve">4.68%</t>
  </si>
  <si>
    <t xml:space="preserve">10 Quebra-Cabeças Bíblicos - Cada Puzzle com 60 Peças e Caixa Especial [2]</t>
  </si>
  <si>
    <t xml:space="preserve">2.45%</t>
  </si>
  <si>
    <t xml:space="preserve">4.12%</t>
  </si>
  <si>
    <t xml:space="preserve">BASE A4</t>
  </si>
  <si>
    <t xml:space="preserve">2 Base de Corte A4 Transparente Para Silhouette Portrait 4 - Cameo Com Cola [3]</t>
  </si>
  <si>
    <t xml:space="preserve">1.76%</t>
  </si>
  <si>
    <t xml:space="preserve">12.92%</t>
  </si>
  <si>
    <t xml:space="preserve">Base de corte</t>
  </si>
  <si>
    <t xml:space="preserve">A4</t>
  </si>
  <si>
    <t xml:space="preserve">QC05</t>
  </si>
  <si>
    <t xml:space="preserve">5 Quebra Cabeça Educativo Infantil - Kit Bíblico - Vol 1 [4]</t>
  </si>
  <si>
    <t xml:space="preserve">1.80%</t>
  </si>
  <si>
    <t xml:space="preserve">5.92%</t>
  </si>
  <si>
    <t xml:space="preserve">BASE 30X30</t>
  </si>
  <si>
    <t xml:space="preserve">Base de Corte 30x30 Transparente COMPATIVEL Silhouette Cameo 1, 2, 3 4, 5 Plus e Pro - Com Cola [3]</t>
  </si>
  <si>
    <t xml:space="preserve">1.62%</t>
  </si>
  <si>
    <t xml:space="preserve">13.91%</t>
  </si>
  <si>
    <t xml:space="preserve">30x30</t>
  </si>
  <si>
    <t xml:space="preserve">Base de Corte 30x30 Transparente Compativel Silhouette Cameo 1, 2, 3 e 4 Cola Refil 50g [2]</t>
  </si>
  <si>
    <t xml:space="preserve">1.24%</t>
  </si>
  <si>
    <t xml:space="preserve">2.22%</t>
  </si>
  <si>
    <t xml:space="preserve">BASE 30X60</t>
  </si>
  <si>
    <t xml:space="preserve">Base De Corte 30x60 Com Cola Compatível com Silhouette Cameo - Plotters Qualidade Original [5]</t>
  </si>
  <si>
    <t xml:space="preserve">2.24%</t>
  </si>
  <si>
    <t xml:space="preserve">4.48%</t>
  </si>
  <si>
    <t xml:space="preserve">30x60</t>
  </si>
  <si>
    <t xml:space="preserve">Base de Corte 30x60 Com Cola para Brother SDX 85, SDX 125 e SDX 225 - Envio Expresso [7]</t>
  </si>
  <si>
    <t xml:space="preserve">2.67%</t>
  </si>
  <si>
    <t xml:space="preserve">4.30%</t>
  </si>
  <si>
    <t xml:space="preserve">Base de Corte 30x60 Para Silhouette Cameo, Cameo 2 3 4 e 4 Plus - Com Cola e Sem Cola - 40mm e 30mm [5]</t>
  </si>
  <si>
    <t xml:space="preserve">0.94%</t>
  </si>
  <si>
    <t xml:space="preserve">7.84%</t>
  </si>
  <si>
    <t xml:space="preserve">Base de corte A4 Silhouette e Cameo 1 a 5 - Alta Durabilidade - Com ou Sem Cola [2]</t>
  </si>
  <si>
    <t xml:space="preserve">1.27%</t>
  </si>
  <si>
    <t xml:space="preserve">12.96%</t>
  </si>
  <si>
    <t xml:space="preserve">Base de Corte C/Cola 30x30 Brother Scanncut - Cm300 (Espessura: 30mm) [5]</t>
  </si>
  <si>
    <t xml:space="preserve">1.83%</t>
  </si>
  <si>
    <t xml:space="preserve">10.79%</t>
  </si>
  <si>
    <t xml:space="preserve">Base A4P</t>
  </si>
  <si>
    <t xml:space="preserve">Base de Corte Paisagem COMPATIVEL Silhouette Cameo, Cameo 1, 2, 3 E 4 - Com Cola [2]</t>
  </si>
  <si>
    <t xml:space="preserve">2.29%</t>
  </si>
  <si>
    <t xml:space="preserve">9.82%</t>
  </si>
  <si>
    <t xml:space="preserve">A4 Paisagem</t>
  </si>
  <si>
    <t xml:space="preserve">Base de Corte para Silhouette Cameo Bannercut 30x60 Com Cola Alta fixação e durabilidade [6]</t>
  </si>
  <si>
    <t xml:space="preserve">1.35%</t>
  </si>
  <si>
    <t xml:space="preserve">6.11%</t>
  </si>
  <si>
    <t xml:space="preserve">Brother ScanNCut - Base de Corte 30x30cm - Compatível com CM300, CM550 e CM650 [4]</t>
  </si>
  <si>
    <t xml:space="preserve">1.77%</t>
  </si>
  <si>
    <t xml:space="preserve">6.25%</t>
  </si>
  <si>
    <t xml:space="preserve">Conjunto 10 Quebra Cabeças Diferentes - Era dos Dinossauros - 60 Peças Cada Um [2]</t>
  </si>
  <si>
    <t xml:space="preserve">3.89%</t>
  </si>
  <si>
    <t xml:space="preserve">3.67%</t>
  </si>
  <si>
    <t xml:space="preserve">Esteira De Corte 30x30 Para Brother Scanncut CM300, CM550 e CM650 - Envio Imediato! [5]</t>
  </si>
  <si>
    <t xml:space="preserve">3.36%</t>
  </si>
  <si>
    <t xml:space="preserve">4.04%</t>
  </si>
  <si>
    <t xml:space="preserve">Kit 10 Quebra Cabeça Infantil Mundo Animal Colorido VOL 5 e 6 [2]</t>
  </si>
  <si>
    <t xml:space="preserve">2.12%</t>
  </si>
  <si>
    <t xml:space="preserve">4.60%</t>
  </si>
  <si>
    <t xml:space="preserve">Kit 10 Quebra Cabeças - Era dos Dinossauros e outros temas ESCOLHA - 60 Peças Cada [5]</t>
  </si>
  <si>
    <t xml:space="preserve">2.05%</t>
  </si>
  <si>
    <t xml:space="preserve">2.93%</t>
  </si>
  <si>
    <t xml:space="preserve">Kit 10 Quebra-Cabeças Infantil Educativo | Especial Escola Dominical | 60 Peças Cada | Aprendizado [4]</t>
  </si>
  <si>
    <t xml:space="preserve">1.59%</t>
  </si>
  <si>
    <t xml:space="preserve">1.49%</t>
  </si>
  <si>
    <t xml:space="preserve">KIT 2 Base de Corte 30x30 Transparente COMPATIVEL Silhouette Cameo 2, 3 - Com Cola [4]</t>
  </si>
  <si>
    <t xml:space="preserve">0.70%</t>
  </si>
  <si>
    <t xml:space="preserve">Kit 2 Base de Corte 30x30 Transparente Compativel Silhouette, Cameo - Com Cola Alta Fixação [2]</t>
  </si>
  <si>
    <t xml:space="preserve">1.65%</t>
  </si>
  <si>
    <t xml:space="preserve">12.70%</t>
  </si>
  <si>
    <t xml:space="preserve">Kit 2 Base de Corte A4 Para Silhouette Portrait 2, 3 e 4 - Cameo, Cameo 2 e 3 - Com Cola [3]</t>
  </si>
  <si>
    <t xml:space="preserve">1.52%</t>
  </si>
  <si>
    <t xml:space="preserve">9.60%</t>
  </si>
  <si>
    <t xml:space="preserve">Kit 2 Base de Corte A4 Transparente Silhouette Portrait, Portrait 2, 3 Cameo, Cameo 2 e 3 Com Cola [2]</t>
  </si>
  <si>
    <t xml:space="preserve">1.36%</t>
  </si>
  <si>
    <t xml:space="preserve">12.62%</t>
  </si>
  <si>
    <t xml:space="preserve">BASE A4P</t>
  </si>
  <si>
    <t xml:space="preserve">Kit 2 Base de Corte Transparente com Cola - A4 Portrait 4 - 250 micras Resistente</t>
  </si>
  <si>
    <t xml:space="preserve">4.17%</t>
  </si>
  <si>
    <t xml:space="preserve">BASE PAISAGEM</t>
  </si>
  <si>
    <t xml:space="preserve">KIT 4 Base de Corte A4 Paisagem  + Cola de Reposição Para Base 50g - Silhouette Portrait e Cameo</t>
  </si>
  <si>
    <t xml:space="preserve">1.29%</t>
  </si>
  <si>
    <t xml:space="preserve">6.49%</t>
  </si>
  <si>
    <t xml:space="preserve">Kit 4 Base de Corte A4 Transparente 1 Cola 50g Silhouette Portrait 2,  3 e 4 Papelaria e Escritório [2]</t>
  </si>
  <si>
    <t xml:space="preserve">1.37%</t>
  </si>
  <si>
    <t xml:space="preserve">7.07%</t>
  </si>
  <si>
    <t xml:space="preserve">KIT 5 placa - Base de Corte 30x60 - com Cola - compatível mesa Transparente</t>
  </si>
  <si>
    <t xml:space="preserve">0.90%</t>
  </si>
  <si>
    <t xml:space="preserve">0.00%</t>
  </si>
  <si>
    <t xml:space="preserve">Quebra Cabeça - Kit Com 10 Modelos - Dinossauros [2]</t>
  </si>
  <si>
    <t xml:space="preserve">2.09%</t>
  </si>
  <si>
    <t xml:space="preserve">3.66%</t>
  </si>
  <si>
    <t xml:space="preserve">Quebra Cabeça Kit Com 10 Modelos Mundo Animal VOL 1 e 2 [3]</t>
  </si>
  <si>
    <t xml:space="preserve">2.63%</t>
  </si>
  <si>
    <t xml:space="preserve">3.46%</t>
  </si>
  <si>
    <t xml:space="preserve">10 Quebra Cabeça Branco Para Sublimação - 60 Peças Cada [3]</t>
  </si>
  <si>
    <t xml:space="preserve">QC Sublimação</t>
  </si>
  <si>
    <t xml:space="preserve">BASE A3</t>
  </si>
  <si>
    <t xml:space="preserve">Base de Corte A3 Com Cola Para Cameo Silhouette Artesanato - Compatibilidade Universal [4]</t>
  </si>
  <si>
    <t xml:space="preserve">A3</t>
  </si>
  <si>
    <t xml:space="preserve">BASE P4</t>
  </si>
  <si>
    <t xml:space="preserve">Base de Corte Compatível Silhouette Portrait 4 com Cola - Kit com 2 [2]</t>
  </si>
  <si>
    <t xml:space="preserve">Portrait4</t>
  </si>
  <si>
    <t xml:space="preserve">BASE CRICUT JOY</t>
  </si>
  <si>
    <t xml:space="preserve">Base de Corte Power Film Com cola Compativel com CRICUT JOY XTRA</t>
  </si>
  <si>
    <t xml:space="preserve">Joy</t>
  </si>
  <si>
    <t xml:space="preserve">BASE CRICUT MINI</t>
  </si>
  <si>
    <t xml:space="preserve">Base de Corte Power Film Compatível Cricut Joy mini - 1un</t>
  </si>
  <si>
    <t xml:space="preserve">mini</t>
  </si>
  <si>
    <t xml:space="preserve">Base de Corte Sem Cola 30x60 Para Brother SDX 85, 125 e 225 Espessura original Rigidez [3]</t>
  </si>
  <si>
    <t xml:space="preserve">Combo 5 Quebra Cabeças Infantil Mundo Animal Vol 1 - 60 Peças Cada - Leve 5 - Presente de Aniversário [2]</t>
  </si>
  <si>
    <t xml:space="preserve">Kit 10 Quebra Cabeça Animais Safari Infantil – 600 Peças – Brinquedo Educational [3]</t>
  </si>
  <si>
    <t xml:space="preserve">Kit 10 Quebra Cabeça Dinossauro - Brinquedo de Montar Educativo Puzzle [5]</t>
  </si>
  <si>
    <t xml:space="preserve">Kit 10 Quebra Cabeças Infantil Dinossauros 60 Peças Cada - Brinquedo Educativo [3]</t>
  </si>
  <si>
    <t xml:space="preserve">Kit 2 Base de Corte A4 Transparente Silhouette - Cameo 2, 3, 4 - Com Cola [3]</t>
  </si>
  <si>
    <t xml:space="preserve">Kit 2 Base de Corte Portrait 4 (Com Cola)</t>
  </si>
  <si>
    <t xml:space="preserve">Kit 2 Base De Corte Power Film Compatível Cricut Joy Mini 11,5 x 30,5 cm</t>
  </si>
  <si>
    <t xml:space="preserve">Kit 2 Base de Corte Transparente A4 Retrato - Silhouette Portrait 1, 2 e 3 [5]</t>
  </si>
  <si>
    <t xml:space="preserve">Kit 2 Base de Corte Transparente A4 Silhouette Portrait 2, 3 e 4 Com Cola [2]</t>
  </si>
  <si>
    <t xml:space="preserve">Kit 3 Base de Corte A4 para Portrait 4 - TRANSPARENTE Papelaria Silhouette Esteira de corte - Com cola</t>
  </si>
  <si>
    <t xml:space="preserve">Kit 3 Base de Corte para Portrait 4 Compatível Silhouette</t>
  </si>
  <si>
    <t xml:space="preserve">Kit 4 Base de Corte A4 Compatível Silhouette Portrait + Liner Protetor [4]</t>
  </si>
  <si>
    <t xml:space="preserve">Kit 4 Base de Corte A4 Paisagem TRANSPARENTE (Com Cola) Silhouette Cameo Alta Rigidez [4]</t>
  </si>
  <si>
    <t xml:space="preserve">Kit 4 Base de Corte A4 Retrato - Transparente Compativel Silhouette Portrait e Cameo - Com Cola [2]</t>
  </si>
  <si>
    <t xml:space="preserve">Kit 4 Base de Corte A4 Retrato Compativel Silhouette Portrait -Com Cola [2]</t>
  </si>
  <si>
    <t xml:space="preserve">Kit 4 Base de Corte Transparente A4 Retrato - Silhouette Portrait 2, 3 e 4 - Com Cola [4]</t>
  </si>
  <si>
    <t xml:space="preserve">Kit 5 Base de Corte - 30x60cm - Compatível Silhouette Alta Rigidez Esteira de Corte Transparente [2]</t>
  </si>
  <si>
    <t xml:space="preserve">QC5</t>
  </si>
  <si>
    <t xml:space="preserve">Kit 5 Quebra Cabeças - 60 Peças Cada - Mundo Animal Vol 5 - Brinquedo Infantil Educativo [2]</t>
  </si>
  <si>
    <t xml:space="preserve">Kit 5 Quebra Cabeças 60 Peças - Mundo Animal Vol 2 Brinquedos educativos Bichos Dia das Crianças [2]</t>
  </si>
  <si>
    <t xml:space="preserve">Kit 5 Quebra Cabeças Infantil Histórias Bíblicas Educativas Cristão Vol 2 - 60 Peças cada [2]</t>
  </si>
  <si>
    <t xml:space="preserve">Kit 7 Base de Corte Silhouette Cameo 30x30cm</t>
  </si>
  <si>
    <t xml:space="preserve">QC</t>
  </si>
  <si>
    <t xml:space="preserve">Kit Quebra Cabeça - Mundo Animal Para Presente Educativo Clássicos Puzzle Presente de Natal [4]</t>
  </si>
  <si>
    <t xml:space="preserve">1 Base de Corte 30x30 Com Cola para ScanNcut SDX 85, 125 e 225 - Envio Expresso [3]</t>
  </si>
  <si>
    <t xml:space="preserve">1 Base de Corte 30x30 Para Silhouette Cameo, Cameo 1 2 3 4, 4 Plus e 4 Pro - Versão Com Cola e Sem Cola - 0,40mm [5]</t>
  </si>
  <si>
    <t xml:space="preserve">1 Base de Corte A3 Branca Para Plotters Cameo Silhouette E Outros Modelos Confira - Com Cola [2]</t>
  </si>
  <si>
    <t xml:space="preserve">1 Base de corte A4 Silhouette Portrait 1, 2, 3 - Cameo 2 e 3 - Transparente - Com Cola [4]</t>
  </si>
  <si>
    <t xml:space="preserve">1 Esteira Base de Corte 30x60 Para Plotters Cameo Silhouette [2]</t>
  </si>
  <si>
    <t xml:space="preserve">10 Quebra Cabeça Para Sublimação - 60 Peças Cada [4]</t>
  </si>
  <si>
    <t xml:space="preserve">2 Base de Corte 30x30 Transparente Para Silhouette Cameo, Cameo 2 3 4, 4 Plus e 4 Pro - Com e Sem Cola [3]</t>
  </si>
  <si>
    <t xml:space="preserve">2 Base de Corte A4 - Linha Pro Com Cola - Compativel Silhouette Portrait - Cameo [4]</t>
  </si>
  <si>
    <t xml:space="preserve">2 Base de Corte A4 Transparente + 1 Tubo de Cola Para Reposição - Para Silhouette Portrait e Cameo [4]</t>
  </si>
  <si>
    <t xml:space="preserve">4 Base de Corte A4 Transparente +1 Cola 50g Compativel Silhouette Portrait 2 e 3 -Com Cola [6]</t>
  </si>
  <si>
    <t xml:space="preserve">Base de corte 30x30 Silhouette Portrait 1, 2, e 3 Transparente Com e Sem Cola [2]</t>
  </si>
  <si>
    <t xml:space="preserve">Base de Corte 30x60 Para Cameo Silhouette - Espessura Original - Corte Com Precisão - Com Cola [3]</t>
  </si>
  <si>
    <t xml:space="preserve">BASE 90X60</t>
  </si>
  <si>
    <t xml:space="preserve">Base de corte 90x60 P/plotters Profissionais Silhouete Cameo 4, Cameo 4 Plus e Cameo Pro e outros modelos [3]</t>
  </si>
  <si>
    <t xml:space="preserve">90*60</t>
  </si>
  <si>
    <t xml:space="preserve">Base de corte A4 Silhouette Portrait 1, 2, 3 - Cameo Transparente Com e Sem Cola [3]</t>
  </si>
  <si>
    <t xml:space="preserve">Base de corte para Silhouette Portrait A4 - 250 Microns Espessura Original - Transparente - Com Cola [3]</t>
  </si>
  <si>
    <t xml:space="preserve">Base De Corte Portrait 4 Transparente + 1 Cola 50g</t>
  </si>
  <si>
    <t xml:space="preserve">Compatível</t>
  </si>
  <si>
    <t xml:space="preserve">Base de Corte Silhouette PORTRAIT e Silhouette CAMEO - Compatível Com Todos Os Modelos - COM COLA [3]</t>
  </si>
  <si>
    <t xml:space="preserve">??</t>
  </si>
  <si>
    <t xml:space="preserve">Kit 2 Base de Corte 30x30 Transparente + 1 Cola Refil Base 50g - Compativel Silhouette Portrait, Portrait 2, 3 [3]</t>
  </si>
  <si>
    <t xml:space="preserve">Kit 2 Base de Corte A4 Transparente + 1 Cola Para Reposição 50g - Compatível Com Silhouette Portrait E Cameo [4]</t>
  </si>
  <si>
    <t xml:space="preserve">Kit 2 Base de Corte Compativel Portrait 4 - com Cola</t>
  </si>
  <si>
    <t xml:space="preserve">QC30</t>
  </si>
  <si>
    <t xml:space="preserve">Kit 30 Quebra Cabeça Para Sublimação - 60 Peças Cada - Personalização Sublimar Em Branco [2]</t>
  </si>
  <si>
    <t xml:space="preserve">kit 4 Esteira de Corte 30x30 Transparente + 1 Cola Base 50g Compativel Silhouette Portrait 2 e 3 Cameo [3]</t>
  </si>
  <si>
    <t xml:space="preserve">QC50</t>
  </si>
  <si>
    <t xml:space="preserve">Kit 50 Quebra Cabeça Para Sublimação - 60 Peças Cada - Personalização Sublimar Em Branco</t>
  </si>
  <si>
    <t xml:space="preserve">Quebra Cabeça Para Sublimação - 60 Peças Cada [2]</t>
  </si>
  <si>
    <t xml:space="preserve">Base de Corte Compatível Silhouette Portrait e Cameo - Escolha o Modelo - COM COLA</t>
  </si>
  <si>
    <t xml:space="preserve">Kit 2 Esteiras de Corte Portrait 4 Profissional Compatível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</si>
</sst>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R$-416]\ #,##0.00;[RED]\-[$R$-416]\ #,##0.00"/>
    <numFmt numFmtId="166" formatCode="0.00%"/>
    <numFmt numFmtId="167" formatCode="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9CD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3.8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6.81"/>
    <col collapsed="false" customWidth="true" hidden="false" outlineLevel="0" max="3" min="3" style="1" width="15.69"/>
    <col collapsed="false" customWidth="true" hidden="false" outlineLevel="0" max="4" min="4" style="2" width="15.69"/>
    <col collapsed="false" customWidth="true" hidden="false" outlineLevel="0" max="5" min="5" style="2" width="61.83"/>
    <col collapsed="false" customWidth="true" hidden="false" outlineLevel="0" max="6" min="6" style="1" width="12.5"/>
    <col collapsed="false" customWidth="true" hidden="false" outlineLevel="0" max="8" min="7" style="1" width="9.13"/>
    <col collapsed="false" customWidth="true" hidden="false" outlineLevel="0" max="9" min="9" style="1" width="12.22"/>
    <col collapsed="false" customWidth="true" hidden="false" outlineLevel="0" max="10" min="10" style="3" width="12.37"/>
    <col collapsed="false" customWidth="true" hidden="false" outlineLevel="0" max="11" min="11" style="1" width="12.64"/>
    <col collapsed="false" customWidth="true" hidden="false" outlineLevel="0" max="12" min="12" style="1" width="10.14"/>
    <col collapsed="false" customWidth="true" hidden="false" outlineLevel="0" max="13" min="13" style="3" width="12.9"/>
    <col collapsed="false" customWidth="true" hidden="false" outlineLevel="0" max="14" min="14" style="3" width="15.84"/>
    <col collapsed="false" customWidth="false" hidden="false" outlineLevel="0" max="15" min="15" style="2" width="8.67"/>
    <col collapsed="false" customWidth="true" hidden="false" outlineLevel="0" max="16" min="16" style="4" width="14.03"/>
    <col collapsed="false" customWidth="true" hidden="false" outlineLevel="0" max="17" min="17" style="4" width="15"/>
    <col collapsed="false" customWidth="true" hidden="false" outlineLevel="0" max="18" min="18" style="4" width="10.14"/>
    <col collapsed="false" customWidth="true" hidden="false" outlineLevel="0" max="19" min="19" style="1" width="11.25"/>
    <col collapsed="false" customWidth="true" hidden="false" outlineLevel="0" max="20" min="20" style="3" width="11.94"/>
    <col collapsed="false" customWidth="true" hidden="false" outlineLevel="0" max="21" min="21" style="1" width="9.44"/>
    <col collapsed="false" customWidth="true" hidden="false" outlineLevel="0" max="22" min="22" style="1" width="9.72"/>
  </cols>
  <sheetData>
    <row r="1" s="12" customFormat="true" ht="13.8" hidden="false" customHeight="false" outlineLevel="0" collapsed="false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8" t="s">
        <v>12</v>
      </c>
      <c r="N1" s="8" t="s">
        <v>13</v>
      </c>
      <c r="O1" s="6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1" t="s">
        <v>19</v>
      </c>
      <c r="U1" s="10" t="s">
        <v>20</v>
      </c>
      <c r="V1" s="10" t="s">
        <v>21</v>
      </c>
      <c r="AMI1" s="0"/>
      <c r="AMJ1" s="0"/>
    </row>
    <row r="2" customFormat="false" ht="13.8" hidden="false" customHeight="false" outlineLevel="0" collapsed="false">
      <c r="A2" s="1" t="n">
        <v>27</v>
      </c>
      <c r="B2" s="1" t="n">
        <v>1</v>
      </c>
      <c r="C2" s="4" t="s">
        <v>22</v>
      </c>
      <c r="D2" s="1" t="n">
        <v>22497100181</v>
      </c>
      <c r="E2" s="2" t="s">
        <v>23</v>
      </c>
      <c r="F2" s="1" t="n">
        <v>34737</v>
      </c>
      <c r="G2" s="1" t="n">
        <v>1061</v>
      </c>
      <c r="H2" s="1" t="s">
        <v>24</v>
      </c>
      <c r="I2" s="1" t="n">
        <v>37</v>
      </c>
      <c r="J2" s="3" t="n">
        <v>5.7</v>
      </c>
      <c r="K2" s="1" t="s">
        <v>25</v>
      </c>
      <c r="L2" s="1" t="n">
        <v>37</v>
      </c>
      <c r="M2" s="3" t="n">
        <v>2351.1</v>
      </c>
      <c r="N2" s="3" t="n">
        <v>210.87</v>
      </c>
      <c r="O2" s="13" t="n">
        <f aca="false">+N2/M2</f>
        <v>0.0896899323720812</v>
      </c>
      <c r="P2" s="4" t="s">
        <v>26</v>
      </c>
      <c r="Q2" s="4" t="s">
        <v>26</v>
      </c>
      <c r="R2" s="4" t="n">
        <v>10</v>
      </c>
      <c r="S2" s="13" t="n">
        <v>0.281</v>
      </c>
      <c r="T2" s="3" t="n">
        <f aca="false">+S2*(M2-J2-N2)</f>
        <v>599.80293</v>
      </c>
      <c r="U2" s="13" t="n">
        <f aca="false">+T2/M2</f>
        <v>0.255115873420952</v>
      </c>
      <c r="V2" s="14" t="n">
        <f aca="false">+T2*U2</f>
        <v>153.019248367396</v>
      </c>
    </row>
    <row r="3" customFormat="false" ht="13.8" hidden="false" customHeight="false" outlineLevel="0" collapsed="false">
      <c r="A3" s="1" t="n">
        <v>26</v>
      </c>
      <c r="B3" s="1" t="n">
        <v>1</v>
      </c>
      <c r="C3" s="4" t="s">
        <v>22</v>
      </c>
      <c r="D3" s="1" t="n">
        <v>22497100169</v>
      </c>
      <c r="E3" s="2" t="s">
        <v>27</v>
      </c>
      <c r="F3" s="1" t="n">
        <v>53005</v>
      </c>
      <c r="G3" s="1" t="n">
        <v>1325</v>
      </c>
      <c r="H3" s="1" t="s">
        <v>28</v>
      </c>
      <c r="I3" s="1" t="n">
        <v>62</v>
      </c>
      <c r="J3" s="3" t="n">
        <v>5.15</v>
      </c>
      <c r="K3" s="13" t="s">
        <v>29</v>
      </c>
      <c r="L3" s="1" t="n">
        <v>71</v>
      </c>
      <c r="M3" s="3" t="n">
        <v>4259.9</v>
      </c>
      <c r="N3" s="3" t="n">
        <v>319.44</v>
      </c>
      <c r="O3" s="13" t="n">
        <f aca="false">+N3/M3</f>
        <v>0.0749876757670368</v>
      </c>
      <c r="P3" s="4" t="s">
        <v>26</v>
      </c>
      <c r="Q3" s="4" t="s">
        <v>26</v>
      </c>
      <c r="R3" s="4" t="n">
        <v>10</v>
      </c>
      <c r="S3" s="13" t="n">
        <v>0.281</v>
      </c>
      <c r="T3" s="3" t="n">
        <f aca="false">+S3*(M3-J3-N3)</f>
        <v>1105.82211</v>
      </c>
      <c r="U3" s="13" t="n">
        <f aca="false">+T3/M3</f>
        <v>0.259588748562173</v>
      </c>
      <c r="V3" s="14" t="n">
        <f aca="false">+T3*U3</f>
        <v>287.058977667281</v>
      </c>
    </row>
    <row r="4" customFormat="false" ht="13.8" hidden="false" customHeight="false" outlineLevel="0" collapsed="false">
      <c r="A4" s="1" t="n">
        <v>24</v>
      </c>
      <c r="B4" s="1" t="n">
        <v>1</v>
      </c>
      <c r="C4" s="4" t="s">
        <v>22</v>
      </c>
      <c r="D4" s="1" t="n">
        <v>22497100149</v>
      </c>
      <c r="E4" s="2" t="s">
        <v>30</v>
      </c>
      <c r="F4" s="1" t="n">
        <v>84099</v>
      </c>
      <c r="G4" s="1" t="n">
        <v>2061</v>
      </c>
      <c r="H4" s="1" t="s">
        <v>31</v>
      </c>
      <c r="I4" s="1" t="n">
        <v>85</v>
      </c>
      <c r="J4" s="3" t="n">
        <v>6.03</v>
      </c>
      <c r="K4" s="1" t="s">
        <v>32</v>
      </c>
      <c r="L4" s="1" t="n">
        <v>87</v>
      </c>
      <c r="M4" s="3" t="n">
        <v>5612.9</v>
      </c>
      <c r="N4" s="3" t="n">
        <v>512.82</v>
      </c>
      <c r="O4" s="13" t="n">
        <f aca="false">+N4/M4</f>
        <v>0.0913645352669743</v>
      </c>
      <c r="P4" s="4" t="s">
        <v>26</v>
      </c>
      <c r="Q4" s="4" t="s">
        <v>26</v>
      </c>
      <c r="R4" s="4" t="n">
        <v>10</v>
      </c>
      <c r="S4" s="13" t="n">
        <v>0.281</v>
      </c>
      <c r="T4" s="3" t="n">
        <f aca="false">+S4*(M4-J4-N4)</f>
        <v>1431.42805</v>
      </c>
      <c r="U4" s="13" t="n">
        <f aca="false">+T4/M4</f>
        <v>0.255024684209589</v>
      </c>
      <c r="V4" s="14" t="n">
        <f aca="false">+T4*U4</f>
        <v>365.049486419997</v>
      </c>
    </row>
    <row r="5" customFormat="false" ht="13.8" hidden="false" customHeight="false" outlineLevel="0" collapsed="false">
      <c r="A5" s="1" t="n">
        <v>1</v>
      </c>
      <c r="B5" s="1" t="n">
        <v>1</v>
      </c>
      <c r="C5" s="4" t="s">
        <v>33</v>
      </c>
      <c r="D5" s="1" t="n">
        <v>23697297381</v>
      </c>
      <c r="E5" s="2" t="s">
        <v>34</v>
      </c>
      <c r="F5" s="1" t="n">
        <v>29098</v>
      </c>
      <c r="G5" s="1" t="n">
        <v>511</v>
      </c>
      <c r="H5" s="1" t="s">
        <v>35</v>
      </c>
      <c r="I5" s="1" t="n">
        <v>66</v>
      </c>
      <c r="J5" s="3" t="n">
        <v>3.38</v>
      </c>
      <c r="K5" s="1" t="s">
        <v>36</v>
      </c>
      <c r="L5" s="1" t="n">
        <v>66</v>
      </c>
      <c r="M5" s="3" t="n">
        <v>2876.4</v>
      </c>
      <c r="N5" s="3" t="n">
        <v>223.4</v>
      </c>
      <c r="O5" s="13" t="n">
        <f aca="false">+N5/M5</f>
        <v>0.0776665276039494</v>
      </c>
      <c r="P5" s="4" t="s">
        <v>37</v>
      </c>
      <c r="Q5" s="4" t="s">
        <v>38</v>
      </c>
      <c r="R5" s="4" t="n">
        <v>2</v>
      </c>
      <c r="S5" s="13" t="n">
        <v>0.407</v>
      </c>
      <c r="T5" s="3" t="n">
        <f aca="false">+S5*(M5-J5-N5)</f>
        <v>1078.39534</v>
      </c>
      <c r="U5" s="13" t="n">
        <f aca="false">+T5/M5</f>
        <v>0.37491146572104</v>
      </c>
      <c r="V5" s="14" t="n">
        <f aca="false">+T5*U5</f>
        <v>404.302777546139</v>
      </c>
    </row>
    <row r="6" customFormat="false" ht="13.8" hidden="false" customHeight="false" outlineLevel="0" collapsed="false">
      <c r="A6" s="1" t="n">
        <v>28</v>
      </c>
      <c r="B6" s="1" t="n">
        <v>1</v>
      </c>
      <c r="C6" s="4" t="s">
        <v>39</v>
      </c>
      <c r="D6" s="1" t="n">
        <v>21573674223</v>
      </c>
      <c r="E6" s="2" t="s">
        <v>40</v>
      </c>
      <c r="F6" s="1" t="n">
        <v>15962</v>
      </c>
      <c r="G6" s="1" t="n">
        <v>287</v>
      </c>
      <c r="H6" s="1" t="s">
        <v>41</v>
      </c>
      <c r="I6" s="1" t="n">
        <v>17</v>
      </c>
      <c r="J6" s="3" t="n">
        <v>4.09</v>
      </c>
      <c r="K6" s="1" t="s">
        <v>42</v>
      </c>
      <c r="L6" s="1" t="n">
        <v>17</v>
      </c>
      <c r="M6" s="3" t="n">
        <v>832.3</v>
      </c>
      <c r="N6" s="3" t="n">
        <v>69.46</v>
      </c>
      <c r="O6" s="13" t="n">
        <f aca="false">+N6/M6</f>
        <v>0.0834554848011534</v>
      </c>
      <c r="P6" s="4" t="s">
        <v>26</v>
      </c>
      <c r="Q6" s="4" t="s">
        <v>26</v>
      </c>
      <c r="R6" s="4" t="n">
        <v>5</v>
      </c>
      <c r="S6" s="13" t="n">
        <v>0.343</v>
      </c>
      <c r="T6" s="3" t="n">
        <f aca="false">+S6*(M6-J6-N6)</f>
        <v>260.25125</v>
      </c>
      <c r="U6" s="13" t="n">
        <f aca="false">+T6/M6</f>
        <v>0.312689234650967</v>
      </c>
      <c r="V6" s="14" t="n">
        <f aca="false">+T6*U6</f>
        <v>81.3777641794575</v>
      </c>
    </row>
    <row r="7" customFormat="false" ht="13.8" hidden="false" customHeight="false" outlineLevel="0" collapsed="false">
      <c r="A7" s="1" t="n">
        <v>10</v>
      </c>
      <c r="B7" s="1" t="n">
        <v>1</v>
      </c>
      <c r="C7" s="4" t="s">
        <v>43</v>
      </c>
      <c r="D7" s="1" t="n">
        <v>23092653904</v>
      </c>
      <c r="E7" s="2" t="s">
        <v>44</v>
      </c>
      <c r="F7" s="1" t="n">
        <v>7103</v>
      </c>
      <c r="G7" s="1" t="n">
        <v>115</v>
      </c>
      <c r="H7" s="1" t="s">
        <v>45</v>
      </c>
      <c r="I7" s="1" t="n">
        <v>16</v>
      </c>
      <c r="J7" s="3" t="n">
        <v>3.38</v>
      </c>
      <c r="K7" s="1" t="s">
        <v>46</v>
      </c>
      <c r="L7" s="1" t="n">
        <v>17</v>
      </c>
      <c r="M7" s="3" t="n">
        <v>549.3</v>
      </c>
      <c r="N7" s="3" t="n">
        <v>54.14</v>
      </c>
      <c r="O7" s="13" t="n">
        <f aca="false">+N7/M7</f>
        <v>0.0985618059348261</v>
      </c>
      <c r="P7" s="4" t="s">
        <v>37</v>
      </c>
      <c r="Q7" s="4" t="s">
        <v>47</v>
      </c>
      <c r="R7" s="4" t="n">
        <v>1</v>
      </c>
      <c r="S7" s="13" t="n">
        <v>0.354</v>
      </c>
      <c r="T7" s="3" t="n">
        <f aca="false">+S7*(M7-J7-N7)</f>
        <v>174.09012</v>
      </c>
      <c r="U7" s="13" t="n">
        <f aca="false">+T7/M7</f>
        <v>0.316930857454943</v>
      </c>
      <c r="V7" s="14" t="n">
        <f aca="false">+T7*U7</f>
        <v>55.1745310060339</v>
      </c>
    </row>
    <row r="8" customFormat="false" ht="13.8" hidden="false" customHeight="false" outlineLevel="0" collapsed="false">
      <c r="A8" s="1" t="n">
        <v>19</v>
      </c>
      <c r="B8" s="1" t="n">
        <v>1</v>
      </c>
      <c r="C8" s="4" t="s">
        <v>43</v>
      </c>
      <c r="D8" s="1" t="n">
        <v>22393068915</v>
      </c>
      <c r="E8" s="2" t="s">
        <v>48</v>
      </c>
      <c r="F8" s="1" t="n">
        <v>7253</v>
      </c>
      <c r="G8" s="1" t="n">
        <v>90</v>
      </c>
      <c r="H8" s="1" t="s">
        <v>49</v>
      </c>
      <c r="I8" s="1" t="n">
        <v>2</v>
      </c>
      <c r="J8" s="3" t="n">
        <v>29.64</v>
      </c>
      <c r="K8" s="1" t="s">
        <v>50</v>
      </c>
      <c r="L8" s="1" t="n">
        <v>2</v>
      </c>
      <c r="M8" s="3" t="n">
        <v>77.8</v>
      </c>
      <c r="N8" s="3" t="n">
        <v>59.28</v>
      </c>
      <c r="O8" s="13" t="n">
        <f aca="false">+N8/M8</f>
        <v>0.761953727506427</v>
      </c>
      <c r="P8" s="4" t="s">
        <v>37</v>
      </c>
      <c r="Q8" s="4" t="s">
        <v>47</v>
      </c>
      <c r="R8" s="4" t="n">
        <v>1</v>
      </c>
      <c r="S8" s="13" t="n">
        <v>0.354</v>
      </c>
      <c r="T8" s="3" t="n">
        <f aca="false">+S8*(M8-J8-N8)</f>
        <v>-3.93648</v>
      </c>
      <c r="U8" s="13" t="n">
        <f aca="false">+T8/M8</f>
        <v>-0.0505974293059126</v>
      </c>
      <c r="V8" s="14" t="n">
        <f aca="false">+T8*U8</f>
        <v>0.199175768514139</v>
      </c>
    </row>
    <row r="9" customFormat="false" ht="13.8" hidden="false" customHeight="false" outlineLevel="0" collapsed="false">
      <c r="A9" s="1" t="n">
        <v>15</v>
      </c>
      <c r="B9" s="1" t="n">
        <v>1</v>
      </c>
      <c r="C9" s="4" t="s">
        <v>51</v>
      </c>
      <c r="D9" s="1" t="n">
        <v>11714995653</v>
      </c>
      <c r="E9" s="2" t="s">
        <v>52</v>
      </c>
      <c r="F9" s="1" t="n">
        <v>5987</v>
      </c>
      <c r="G9" s="1" t="n">
        <v>134</v>
      </c>
      <c r="H9" s="1" t="s">
        <v>53</v>
      </c>
      <c r="I9" s="1" t="n">
        <v>6</v>
      </c>
      <c r="J9" s="3" t="n">
        <v>6.37</v>
      </c>
      <c r="K9" s="1" t="s">
        <v>54</v>
      </c>
      <c r="L9" s="1" t="n">
        <v>6</v>
      </c>
      <c r="M9" s="3" t="n">
        <v>269.4</v>
      </c>
      <c r="N9" s="3" t="n">
        <v>38.22</v>
      </c>
      <c r="O9" s="13" t="n">
        <f aca="false">+N9/M9</f>
        <v>0.141870824053452</v>
      </c>
      <c r="P9" s="4" t="s">
        <v>37</v>
      </c>
      <c r="Q9" s="4" t="s">
        <v>55</v>
      </c>
      <c r="R9" s="4" t="n">
        <v>1</v>
      </c>
      <c r="S9" s="13" t="n">
        <v>0.317</v>
      </c>
      <c r="T9" s="3" t="n">
        <f aca="false">+S9*(M9-J9-N9)</f>
        <v>71.26477</v>
      </c>
      <c r="U9" s="13" t="n">
        <f aca="false">+T9/M9</f>
        <v>0.264531440237565</v>
      </c>
      <c r="V9" s="14" t="n">
        <f aca="false">+T9*U9</f>
        <v>18.8517722462988</v>
      </c>
    </row>
    <row r="10" customFormat="false" ht="13.8" hidden="false" customHeight="false" outlineLevel="0" collapsed="false">
      <c r="A10" s="1" t="n">
        <v>9</v>
      </c>
      <c r="B10" s="1" t="n">
        <v>1</v>
      </c>
      <c r="C10" s="4" t="s">
        <v>51</v>
      </c>
      <c r="D10" s="1" t="n">
        <v>15250252385</v>
      </c>
      <c r="E10" s="2" t="s">
        <v>56</v>
      </c>
      <c r="F10" s="1" t="n">
        <v>11329</v>
      </c>
      <c r="G10" s="1" t="n">
        <v>302</v>
      </c>
      <c r="H10" s="1" t="s">
        <v>57</v>
      </c>
      <c r="I10" s="1" t="n">
        <v>13</v>
      </c>
      <c r="J10" s="3" t="n">
        <v>4.64</v>
      </c>
      <c r="K10" s="1" t="s">
        <v>58</v>
      </c>
      <c r="L10" s="1" t="n">
        <v>14</v>
      </c>
      <c r="M10" s="3" t="n">
        <v>558.6</v>
      </c>
      <c r="N10" s="3" t="n">
        <v>60.34</v>
      </c>
      <c r="O10" s="13" t="n">
        <f aca="false">+N10/M10</f>
        <v>0.108020050125313</v>
      </c>
      <c r="P10" s="4" t="s">
        <v>37</v>
      </c>
      <c r="Q10" s="4" t="s">
        <v>55</v>
      </c>
      <c r="R10" s="4" t="n">
        <v>1</v>
      </c>
      <c r="S10" s="13" t="n">
        <v>0.337</v>
      </c>
      <c r="T10" s="3" t="n">
        <f aca="false">+S10*(M10-J10-N10)</f>
        <v>166.34994</v>
      </c>
      <c r="U10" s="13" t="n">
        <f aca="false">+T10/M10</f>
        <v>0.297797959183673</v>
      </c>
      <c r="V10" s="14" t="n">
        <f aca="false">+T10*U10</f>
        <v>49.5386726423265</v>
      </c>
    </row>
    <row r="11" customFormat="false" ht="13.8" hidden="false" customHeight="false" outlineLevel="0" collapsed="false">
      <c r="A11" s="1" t="n">
        <v>17</v>
      </c>
      <c r="B11" s="1" t="n">
        <v>1</v>
      </c>
      <c r="C11" s="4" t="s">
        <v>51</v>
      </c>
      <c r="D11" s="1" t="n">
        <v>22891613667</v>
      </c>
      <c r="E11" s="2" t="s">
        <v>59</v>
      </c>
      <c r="F11" s="1" t="n">
        <v>5413</v>
      </c>
      <c r="G11" s="1" t="n">
        <v>51</v>
      </c>
      <c r="H11" s="1" t="s">
        <v>60</v>
      </c>
      <c r="I11" s="1" t="n">
        <v>4</v>
      </c>
      <c r="J11" s="3" t="n">
        <v>4.57</v>
      </c>
      <c r="K11" s="1" t="s">
        <v>61</v>
      </c>
      <c r="L11" s="1" t="n">
        <v>4</v>
      </c>
      <c r="M11" s="3" t="n">
        <v>183.6</v>
      </c>
      <c r="N11" s="3" t="n">
        <v>18.28</v>
      </c>
      <c r="O11" s="13" t="n">
        <f aca="false">+N11/M11</f>
        <v>0.0995642701525055</v>
      </c>
      <c r="P11" s="4" t="s">
        <v>37</v>
      </c>
      <c r="Q11" s="4" t="s">
        <v>55</v>
      </c>
      <c r="R11" s="4" t="n">
        <v>5</v>
      </c>
      <c r="S11" s="13" t="n">
        <v>0.317</v>
      </c>
      <c r="T11" s="3" t="n">
        <f aca="false">+S11*(M11-J11-N11)</f>
        <v>50.95775</v>
      </c>
      <c r="U11" s="13" t="n">
        <f aca="false">+T11/M11</f>
        <v>0.27754765795207</v>
      </c>
      <c r="V11" s="14" t="n">
        <f aca="false">+T11*U11</f>
        <v>14.1432041670071</v>
      </c>
    </row>
    <row r="12" customFormat="false" ht="13.8" hidden="false" customHeight="false" outlineLevel="0" collapsed="false">
      <c r="A12" s="1" t="n">
        <v>14</v>
      </c>
      <c r="B12" s="1" t="n">
        <v>1</v>
      </c>
      <c r="C12" s="4" t="s">
        <v>33</v>
      </c>
      <c r="D12" s="1" t="n">
        <v>23597556517</v>
      </c>
      <c r="E12" s="2" t="s">
        <v>62</v>
      </c>
      <c r="F12" s="1" t="n">
        <v>4249</v>
      </c>
      <c r="G12" s="1" t="n">
        <v>54</v>
      </c>
      <c r="H12" s="1" t="s">
        <v>63</v>
      </c>
      <c r="I12" s="1" t="n">
        <v>7</v>
      </c>
      <c r="J12" s="3" t="n">
        <v>2.96</v>
      </c>
      <c r="K12" s="1" t="s">
        <v>64</v>
      </c>
      <c r="L12" s="1" t="n">
        <v>8</v>
      </c>
      <c r="M12" s="3" t="n">
        <v>342</v>
      </c>
      <c r="N12" s="3" t="n">
        <v>20.75</v>
      </c>
      <c r="O12" s="13" t="n">
        <f aca="false">+N12/M12</f>
        <v>0.060672514619883</v>
      </c>
      <c r="P12" s="4" t="s">
        <v>37</v>
      </c>
      <c r="Q12" s="4" t="s">
        <v>38</v>
      </c>
      <c r="R12" s="4" t="n">
        <v>1</v>
      </c>
      <c r="S12" s="13" t="n">
        <v>0.385</v>
      </c>
      <c r="T12" s="3" t="n">
        <f aca="false">+S12*(M12-J12-N12)</f>
        <v>122.54165</v>
      </c>
      <c r="U12" s="13" t="n">
        <f aca="false">+T12/M12</f>
        <v>0.358308918128655</v>
      </c>
      <c r="V12" s="14" t="n">
        <f aca="false">+T12*U12</f>
        <v>43.9077660372003</v>
      </c>
    </row>
    <row r="13" customFormat="false" ht="13.8" hidden="false" customHeight="false" outlineLevel="0" collapsed="false">
      <c r="A13" s="1" t="n">
        <v>6</v>
      </c>
      <c r="B13" s="1" t="n">
        <v>1</v>
      </c>
      <c r="C13" s="4" t="s">
        <v>43</v>
      </c>
      <c r="D13" s="1" t="n">
        <v>13869340936</v>
      </c>
      <c r="E13" s="2" t="s">
        <v>65</v>
      </c>
      <c r="F13" s="1" t="n">
        <v>13144</v>
      </c>
      <c r="G13" s="1" t="n">
        <v>241</v>
      </c>
      <c r="H13" s="1" t="s">
        <v>66</v>
      </c>
      <c r="I13" s="1" t="n">
        <v>26</v>
      </c>
      <c r="J13" s="3" t="n">
        <v>4.2</v>
      </c>
      <c r="K13" s="1" t="s">
        <v>67</v>
      </c>
      <c r="L13" s="1" t="n">
        <v>27</v>
      </c>
      <c r="M13" s="3" t="n">
        <v>997.3</v>
      </c>
      <c r="N13" s="3" t="n">
        <v>109.09</v>
      </c>
      <c r="O13" s="13" t="n">
        <f aca="false">+N13/M13</f>
        <v>0.109385340419132</v>
      </c>
      <c r="P13" s="4" t="s">
        <v>37</v>
      </c>
      <c r="Q13" s="4" t="s">
        <v>47</v>
      </c>
      <c r="R13" s="4" t="n">
        <v>1</v>
      </c>
      <c r="S13" s="13" t="n">
        <v>0.389</v>
      </c>
      <c r="T13" s="3" t="n">
        <f aca="false">+S13*(M13-J13-N13)</f>
        <v>343.87989</v>
      </c>
      <c r="U13" s="13" t="n">
        <f aca="false">+T13/M13</f>
        <v>0.344810879374311</v>
      </c>
      <c r="V13" s="14" t="n">
        <f aca="false">+T13*U13</f>
        <v>118.573527270041</v>
      </c>
    </row>
    <row r="14" customFormat="false" ht="13.8" hidden="false" customHeight="false" outlineLevel="0" collapsed="false">
      <c r="A14" s="1" t="n">
        <v>7</v>
      </c>
      <c r="B14" s="1" t="n">
        <v>1</v>
      </c>
      <c r="C14" s="4" t="s">
        <v>68</v>
      </c>
      <c r="D14" s="1" t="n">
        <v>22097387599</v>
      </c>
      <c r="E14" s="2" t="s">
        <v>69</v>
      </c>
      <c r="F14" s="1" t="n">
        <v>14226</v>
      </c>
      <c r="G14" s="1" t="n">
        <v>326</v>
      </c>
      <c r="H14" s="1" t="s">
        <v>70</v>
      </c>
      <c r="I14" s="1" t="n">
        <v>32</v>
      </c>
      <c r="J14" s="3" t="n">
        <v>2.86</v>
      </c>
      <c r="K14" s="1" t="s">
        <v>71</v>
      </c>
      <c r="L14" s="1" t="n">
        <v>38</v>
      </c>
      <c r="M14" s="3" t="n">
        <v>794.2</v>
      </c>
      <c r="N14" s="3" t="n">
        <v>91.39</v>
      </c>
      <c r="O14" s="13" t="n">
        <f aca="false">+N14/M14</f>
        <v>0.115071770334928</v>
      </c>
      <c r="P14" s="4" t="s">
        <v>37</v>
      </c>
      <c r="Q14" s="4" t="s">
        <v>72</v>
      </c>
      <c r="R14" s="4" t="n">
        <v>1</v>
      </c>
      <c r="S14" s="13" t="n">
        <v>0.362</v>
      </c>
      <c r="T14" s="3" t="n">
        <f aca="false">+S14*(M14-J14-N14)</f>
        <v>253.3819</v>
      </c>
      <c r="U14" s="13" t="n">
        <f aca="false">+T14/M14</f>
        <v>0.319040418030723</v>
      </c>
      <c r="V14" s="14" t="n">
        <f aca="false">+T14*U14</f>
        <v>80.8390672974188</v>
      </c>
    </row>
    <row r="15" customFormat="false" ht="13.8" hidden="false" customHeight="false" outlineLevel="0" collapsed="false">
      <c r="A15" s="1" t="n">
        <v>13</v>
      </c>
      <c r="B15" s="1" t="n">
        <v>1</v>
      </c>
      <c r="C15" s="4" t="s">
        <v>51</v>
      </c>
      <c r="D15" s="1" t="n">
        <v>15657461060</v>
      </c>
      <c r="E15" s="2" t="s">
        <v>73</v>
      </c>
      <c r="F15" s="1" t="n">
        <v>9699</v>
      </c>
      <c r="G15" s="1" t="n">
        <v>131</v>
      </c>
      <c r="H15" s="1" t="s">
        <v>74</v>
      </c>
      <c r="I15" s="1" t="n">
        <v>8</v>
      </c>
      <c r="J15" s="3" t="n">
        <v>5.55</v>
      </c>
      <c r="K15" s="1" t="s">
        <v>75</v>
      </c>
      <c r="L15" s="1" t="n">
        <v>9</v>
      </c>
      <c r="M15" s="3" t="n">
        <v>413.1</v>
      </c>
      <c r="N15" s="3" t="n">
        <v>44.36</v>
      </c>
      <c r="O15" s="13" t="n">
        <f aca="false">+N15/M15</f>
        <v>0.107383200193658</v>
      </c>
      <c r="P15" s="4" t="s">
        <v>37</v>
      </c>
      <c r="Q15" s="4" t="s">
        <v>55</v>
      </c>
      <c r="R15" s="4" t="n">
        <v>1</v>
      </c>
      <c r="S15" s="13" t="n">
        <v>0.317</v>
      </c>
      <c r="T15" s="3" t="n">
        <f aca="false">+S15*(M15-J15-N15)</f>
        <v>115.13123</v>
      </c>
      <c r="U15" s="13" t="n">
        <f aca="false">+T15/M15</f>
        <v>0.278700629387557</v>
      </c>
      <c r="V15" s="14" t="n">
        <f aca="false">+T15*U15</f>
        <v>32.0871462631636</v>
      </c>
    </row>
    <row r="16" customFormat="false" ht="13.8" hidden="false" customHeight="false" outlineLevel="0" collapsed="false">
      <c r="A16" s="1" t="n">
        <v>12</v>
      </c>
      <c r="B16" s="1" t="n">
        <v>1</v>
      </c>
      <c r="C16" s="4" t="s">
        <v>43</v>
      </c>
      <c r="D16" s="1" t="n">
        <v>15037739365</v>
      </c>
      <c r="E16" s="2" t="s">
        <v>76</v>
      </c>
      <c r="F16" s="1" t="n">
        <v>10829</v>
      </c>
      <c r="G16" s="1" t="n">
        <v>192</v>
      </c>
      <c r="H16" s="1" t="s">
        <v>77</v>
      </c>
      <c r="I16" s="1" t="n">
        <v>12</v>
      </c>
      <c r="J16" s="3" t="n">
        <v>5.14</v>
      </c>
      <c r="K16" s="1" t="s">
        <v>78</v>
      </c>
      <c r="L16" s="1" t="n">
        <v>13</v>
      </c>
      <c r="M16" s="3" t="n">
        <v>465.7</v>
      </c>
      <c r="N16" s="3" t="n">
        <v>61.64</v>
      </c>
      <c r="O16" s="13" t="n">
        <f aca="false">+N16/M16</f>
        <v>0.132359888340133</v>
      </c>
      <c r="P16" s="4" t="s">
        <v>37</v>
      </c>
      <c r="Q16" s="4" t="s">
        <v>47</v>
      </c>
      <c r="R16" s="4" t="n">
        <v>1</v>
      </c>
      <c r="S16" s="13" t="n">
        <v>0.389</v>
      </c>
      <c r="T16" s="3" t="n">
        <f aca="false">+S16*(M16-J16-N16)</f>
        <v>155.17988</v>
      </c>
      <c r="U16" s="13" t="n">
        <f aca="false">+T16/M16</f>
        <v>0.333218552716341</v>
      </c>
      <c r="V16" s="14" t="n">
        <f aca="false">+T16*U16</f>
        <v>51.7088150242955</v>
      </c>
    </row>
    <row r="17" customFormat="false" ht="13.8" hidden="false" customHeight="false" outlineLevel="0" collapsed="false">
      <c r="A17" s="1" t="n">
        <v>23</v>
      </c>
      <c r="B17" s="1" t="n">
        <v>1</v>
      </c>
      <c r="C17" s="4" t="s">
        <v>22</v>
      </c>
      <c r="D17" s="1" t="n">
        <v>23795681999</v>
      </c>
      <c r="E17" s="2" t="s">
        <v>79</v>
      </c>
      <c r="F17" s="1" t="n">
        <v>80022</v>
      </c>
      <c r="G17" s="1" t="n">
        <v>3109</v>
      </c>
      <c r="H17" s="1" t="s">
        <v>80</v>
      </c>
      <c r="I17" s="1" t="n">
        <v>114</v>
      </c>
      <c r="J17" s="3" t="n">
        <v>4.75</v>
      </c>
      <c r="K17" s="1" t="s">
        <v>81</v>
      </c>
      <c r="L17" s="1" t="n">
        <v>118</v>
      </c>
      <c r="M17" s="3" t="n">
        <v>7614.31</v>
      </c>
      <c r="N17" s="3" t="n">
        <v>541.03</v>
      </c>
      <c r="O17" s="13" t="n">
        <f aca="false">+N17/M17</f>
        <v>0.0710543699954428</v>
      </c>
      <c r="P17" s="4" t="s">
        <v>26</v>
      </c>
      <c r="Q17" s="4" t="s">
        <v>26</v>
      </c>
      <c r="R17" s="4" t="n">
        <v>10</v>
      </c>
      <c r="S17" s="13" t="n">
        <v>0.281</v>
      </c>
      <c r="T17" s="3" t="n">
        <f aca="false">+S17*(M17-J17-N17)</f>
        <v>1986.25693</v>
      </c>
      <c r="U17" s="13" t="n">
        <f aca="false">+T17/M17</f>
        <v>0.260858427093197</v>
      </c>
      <c r="V17" s="14" t="n">
        <f aca="false">+T17*U17</f>
        <v>518.131858562762</v>
      </c>
    </row>
    <row r="18" customFormat="false" ht="13.8" hidden="false" customHeight="false" outlineLevel="0" collapsed="false">
      <c r="A18" s="1" t="n">
        <v>4</v>
      </c>
      <c r="B18" s="1" t="n">
        <v>1</v>
      </c>
      <c r="C18" s="4" t="s">
        <v>43</v>
      </c>
      <c r="D18" s="1" t="n">
        <v>15833567190</v>
      </c>
      <c r="E18" s="2" t="s">
        <v>82</v>
      </c>
      <c r="F18" s="1" t="n">
        <v>24998</v>
      </c>
      <c r="G18" s="1" t="n">
        <v>841</v>
      </c>
      <c r="H18" s="1" t="s">
        <v>83</v>
      </c>
      <c r="I18" s="1" t="n">
        <v>34</v>
      </c>
      <c r="J18" s="3" t="n">
        <v>3.99</v>
      </c>
      <c r="K18" s="1" t="s">
        <v>84</v>
      </c>
      <c r="L18" s="1" t="n">
        <v>38</v>
      </c>
      <c r="M18" s="3" t="n">
        <v>1360.2</v>
      </c>
      <c r="N18" s="3" t="n">
        <v>135.61</v>
      </c>
      <c r="O18" s="13" t="n">
        <f aca="false">+N18/M18</f>
        <v>0.099698573739156</v>
      </c>
      <c r="P18" s="4" t="s">
        <v>37</v>
      </c>
      <c r="Q18" s="4" t="s">
        <v>47</v>
      </c>
      <c r="R18" s="4" t="n">
        <v>1</v>
      </c>
      <c r="S18" s="13" t="n">
        <v>0.389</v>
      </c>
      <c r="T18" s="3" t="n">
        <f aca="false">+S18*(M18-J18-N18)</f>
        <v>474.8134</v>
      </c>
      <c r="U18" s="13" t="n">
        <f aca="false">+T18/M18</f>
        <v>0.349076165269813</v>
      </c>
      <c r="V18" s="14" t="n">
        <f aca="false">+T18*U18</f>
        <v>165.746040890722</v>
      </c>
    </row>
    <row r="19" customFormat="false" ht="13.8" hidden="false" customHeight="false" outlineLevel="0" collapsed="false">
      <c r="A19" s="1" t="n">
        <v>29</v>
      </c>
      <c r="B19" s="1" t="n">
        <v>1</v>
      </c>
      <c r="C19" s="4" t="s">
        <v>22</v>
      </c>
      <c r="D19" s="1" t="n">
        <v>22992892990</v>
      </c>
      <c r="E19" s="2" t="s">
        <v>85</v>
      </c>
      <c r="F19" s="1" t="n">
        <v>12303</v>
      </c>
      <c r="G19" s="1" t="n">
        <v>261</v>
      </c>
      <c r="H19" s="1" t="s">
        <v>86</v>
      </c>
      <c r="I19" s="1" t="n">
        <v>12</v>
      </c>
      <c r="J19" s="3" t="n">
        <v>6.17</v>
      </c>
      <c r="K19" s="1" t="s">
        <v>87</v>
      </c>
      <c r="L19" s="1" t="n">
        <v>13</v>
      </c>
      <c r="M19" s="3" t="n">
        <v>830.95</v>
      </c>
      <c r="N19" s="3" t="n">
        <v>74.07</v>
      </c>
      <c r="O19" s="13" t="n">
        <f aca="false">+N19/M19</f>
        <v>0.089138937360852</v>
      </c>
      <c r="P19" s="4" t="s">
        <v>26</v>
      </c>
      <c r="Q19" s="4" t="s">
        <v>26</v>
      </c>
      <c r="R19" s="4" t="n">
        <v>10</v>
      </c>
      <c r="S19" s="13" t="n">
        <v>0.281</v>
      </c>
      <c r="T19" s="3" t="n">
        <f aca="false">+S19*(M19-J19-N19)</f>
        <v>210.94951</v>
      </c>
      <c r="U19" s="13" t="n">
        <f aca="false">+T19/M19</f>
        <v>0.253865467236296</v>
      </c>
      <c r="V19" s="14" t="n">
        <f aca="false">+T19*U19</f>
        <v>53.5527959194177</v>
      </c>
    </row>
    <row r="20" customFormat="false" ht="13.8" hidden="false" customHeight="false" outlineLevel="0" collapsed="false">
      <c r="A20" s="1" t="n">
        <v>30</v>
      </c>
      <c r="B20" s="1" t="n">
        <v>1</v>
      </c>
      <c r="C20" s="4" t="s">
        <v>22</v>
      </c>
      <c r="D20" s="1" t="n">
        <v>18321126663</v>
      </c>
      <c r="E20" s="2" t="s">
        <v>88</v>
      </c>
      <c r="F20" s="1" t="n">
        <v>16643</v>
      </c>
      <c r="G20" s="1" t="n">
        <v>341</v>
      </c>
      <c r="H20" s="1" t="s">
        <v>89</v>
      </c>
      <c r="I20" s="1" t="n">
        <v>10</v>
      </c>
      <c r="J20" s="3" t="n">
        <v>8.66</v>
      </c>
      <c r="K20" s="1" t="s">
        <v>90</v>
      </c>
      <c r="L20" s="1" t="n">
        <v>10</v>
      </c>
      <c r="M20" s="3" t="n">
        <v>638.89</v>
      </c>
      <c r="N20" s="3" t="n">
        <v>86.59</v>
      </c>
      <c r="O20" s="13" t="n">
        <f aca="false">+N20/M20</f>
        <v>0.135531938205325</v>
      </c>
      <c r="P20" s="4" t="s">
        <v>26</v>
      </c>
      <c r="Q20" s="4" t="s">
        <v>26</v>
      </c>
      <c r="R20" s="4" t="n">
        <v>10</v>
      </c>
      <c r="S20" s="13" t="n">
        <v>0.281</v>
      </c>
      <c r="T20" s="3" t="n">
        <f aca="false">+S20*(M20-J20-N20)</f>
        <v>152.76284</v>
      </c>
      <c r="U20" s="13" t="n">
        <f aca="false">+T20/M20</f>
        <v>0.239106638075412</v>
      </c>
      <c r="V20" s="14" t="n">
        <f aca="false">+T20*U20</f>
        <v>36.5266090952521</v>
      </c>
    </row>
    <row r="21" customFormat="false" ht="13.8" hidden="false" customHeight="false" outlineLevel="0" collapsed="false">
      <c r="A21" s="1" t="n">
        <v>32</v>
      </c>
      <c r="B21" s="1" t="n">
        <v>1</v>
      </c>
      <c r="C21" s="4" t="s">
        <v>22</v>
      </c>
      <c r="D21" s="1" t="n">
        <v>22528314756</v>
      </c>
      <c r="E21" s="2" t="s">
        <v>91</v>
      </c>
      <c r="F21" s="1" t="n">
        <v>12609</v>
      </c>
      <c r="G21" s="1" t="n">
        <v>201</v>
      </c>
      <c r="H21" s="1" t="s">
        <v>92</v>
      </c>
      <c r="I21" s="1" t="n">
        <v>3</v>
      </c>
      <c r="J21" s="3" t="n">
        <v>10.74</v>
      </c>
      <c r="K21" s="1" t="s">
        <v>93</v>
      </c>
      <c r="L21" s="1" t="n">
        <v>3</v>
      </c>
      <c r="M21" s="3" t="n">
        <v>203.67</v>
      </c>
      <c r="N21" s="3" t="n">
        <v>32.23</v>
      </c>
      <c r="O21" s="13" t="n">
        <f aca="false">+N21/M21</f>
        <v>0.158246182550204</v>
      </c>
      <c r="P21" s="4" t="s">
        <v>26</v>
      </c>
      <c r="Q21" s="4" t="s">
        <v>26</v>
      </c>
      <c r="R21" s="4" t="n">
        <v>10</v>
      </c>
      <c r="S21" s="13" t="n">
        <v>0.281</v>
      </c>
      <c r="T21" s="3" t="n">
        <f aca="false">+S21*(M21-J21-N21)</f>
        <v>45.1567</v>
      </c>
      <c r="U21" s="13" t="n">
        <f aca="false">+T21/M21</f>
        <v>0.221715029213924</v>
      </c>
      <c r="V21" s="14" t="n">
        <f aca="false">+T21*U21</f>
        <v>10.0119190597044</v>
      </c>
    </row>
    <row r="22" customFormat="false" ht="13.8" hidden="false" customHeight="false" outlineLevel="0" collapsed="false">
      <c r="A22" s="1" t="n">
        <v>20</v>
      </c>
      <c r="B22" s="1" t="n">
        <v>1</v>
      </c>
      <c r="C22" s="4" t="s">
        <v>43</v>
      </c>
      <c r="D22" s="1" t="n">
        <v>23897145567</v>
      </c>
      <c r="E22" s="2" t="s">
        <v>94</v>
      </c>
      <c r="F22" s="1" t="n">
        <v>2291</v>
      </c>
      <c r="G22" s="1" t="n">
        <v>16</v>
      </c>
      <c r="H22" s="1" t="s">
        <v>95</v>
      </c>
      <c r="I22" s="1" t="n">
        <v>1</v>
      </c>
      <c r="J22" s="3" t="n">
        <v>3.38</v>
      </c>
      <c r="K22" s="1" t="s">
        <v>78</v>
      </c>
      <c r="L22" s="1" t="n">
        <v>1</v>
      </c>
      <c r="M22" s="3" t="n">
        <v>69.9</v>
      </c>
      <c r="N22" s="3" t="n">
        <v>3.38</v>
      </c>
      <c r="O22" s="13" t="n">
        <f aca="false">+N22/M22</f>
        <v>0.0483547925608011</v>
      </c>
      <c r="P22" s="4" t="s">
        <v>37</v>
      </c>
      <c r="Q22" s="4" t="s">
        <v>47</v>
      </c>
      <c r="R22" s="4" t="n">
        <v>2</v>
      </c>
      <c r="S22" s="13" t="n">
        <v>0.356</v>
      </c>
      <c r="T22" s="3" t="n">
        <f aca="false">+S22*(M22-J22-N22)</f>
        <v>22.47784</v>
      </c>
      <c r="U22" s="13" t="n">
        <f aca="false">+T22/M22</f>
        <v>0.32157138769671</v>
      </c>
      <c r="V22" s="14" t="n">
        <f aca="false">+T22*U22</f>
        <v>7.22823020122461</v>
      </c>
    </row>
    <row r="23" customFormat="false" ht="13.8" hidden="false" customHeight="false" outlineLevel="0" collapsed="false">
      <c r="A23" s="1" t="n">
        <v>2</v>
      </c>
      <c r="B23" s="1" t="n">
        <v>1</v>
      </c>
      <c r="C23" s="4" t="s">
        <v>43</v>
      </c>
      <c r="D23" s="1" t="n">
        <v>23092653852</v>
      </c>
      <c r="E23" s="2" t="s">
        <v>96</v>
      </c>
      <c r="F23" s="1" t="n">
        <v>18551</v>
      </c>
      <c r="G23" s="1" t="n">
        <v>307</v>
      </c>
      <c r="H23" s="1" t="s">
        <v>97</v>
      </c>
      <c r="I23" s="1" t="n">
        <v>39</v>
      </c>
      <c r="J23" s="3" t="n">
        <v>4.29</v>
      </c>
      <c r="K23" s="1" t="s">
        <v>98</v>
      </c>
      <c r="L23" s="1" t="n">
        <v>40</v>
      </c>
      <c r="M23" s="3" t="n">
        <v>1992</v>
      </c>
      <c r="N23" s="3" t="n">
        <v>167.24</v>
      </c>
      <c r="O23" s="13" t="n">
        <f aca="false">+N23/M23</f>
        <v>0.0839558232931727</v>
      </c>
      <c r="P23" s="4" t="s">
        <v>37</v>
      </c>
      <c r="Q23" s="4" t="s">
        <v>47</v>
      </c>
      <c r="R23" s="4" t="n">
        <v>2</v>
      </c>
      <c r="S23" s="13" t="n">
        <v>0.356</v>
      </c>
      <c r="T23" s="3" t="n">
        <f aca="false">+S23*(M23-J23-N23)</f>
        <v>648.08732</v>
      </c>
      <c r="U23" s="13" t="n">
        <f aca="false">+T23/M23</f>
        <v>0.325345040160643</v>
      </c>
      <c r="V23" s="14" t="n">
        <f aca="false">+T23*U23</f>
        <v>210.851995153003</v>
      </c>
    </row>
    <row r="24" customFormat="false" ht="13.8" hidden="false" customHeight="false" outlineLevel="0" collapsed="false">
      <c r="A24" s="1" t="n">
        <v>5</v>
      </c>
      <c r="B24" s="1" t="n">
        <v>1</v>
      </c>
      <c r="C24" s="4" t="s">
        <v>33</v>
      </c>
      <c r="D24" s="1" t="n">
        <v>20997495267</v>
      </c>
      <c r="E24" s="2" t="s">
        <v>99</v>
      </c>
      <c r="F24" s="1" t="n">
        <v>19897</v>
      </c>
      <c r="G24" s="1" t="n">
        <v>302</v>
      </c>
      <c r="H24" s="1" t="s">
        <v>100</v>
      </c>
      <c r="I24" s="1" t="n">
        <v>29</v>
      </c>
      <c r="J24" s="3" t="n">
        <v>3.4</v>
      </c>
      <c r="K24" s="1" t="s">
        <v>101</v>
      </c>
      <c r="L24" s="1" t="n">
        <v>29</v>
      </c>
      <c r="M24" s="3" t="n">
        <v>1194.7</v>
      </c>
      <c r="N24" s="3" t="n">
        <v>98.67</v>
      </c>
      <c r="O24" s="13" t="n">
        <f aca="false">+N24/M24</f>
        <v>0.0825897714907508</v>
      </c>
      <c r="P24" s="4" t="s">
        <v>37</v>
      </c>
      <c r="Q24" s="4" t="s">
        <v>38</v>
      </c>
      <c r="R24" s="4" t="n">
        <v>2</v>
      </c>
      <c r="S24" s="13" t="n">
        <v>0.407</v>
      </c>
      <c r="T24" s="3" t="n">
        <f aca="false">+S24*(M24-J24-N24)</f>
        <v>444.70041</v>
      </c>
      <c r="U24" s="13" t="n">
        <f aca="false">+T24/M24</f>
        <v>0.372227680589269</v>
      </c>
      <c r="V24" s="14" t="n">
        <f aca="false">+T24*U24</f>
        <v>165.529802171397</v>
      </c>
    </row>
    <row r="25" customFormat="false" ht="13.8" hidden="false" customHeight="false" outlineLevel="0" collapsed="false">
      <c r="A25" s="1" t="n">
        <v>11</v>
      </c>
      <c r="B25" s="1" t="n">
        <v>1</v>
      </c>
      <c r="C25" s="4" t="s">
        <v>33</v>
      </c>
      <c r="D25" s="1" t="n">
        <v>20997495263</v>
      </c>
      <c r="E25" s="2" t="s">
        <v>102</v>
      </c>
      <c r="F25" s="1" t="n">
        <v>7559</v>
      </c>
      <c r="G25" s="1" t="n">
        <v>103</v>
      </c>
      <c r="H25" s="1" t="s">
        <v>103</v>
      </c>
      <c r="I25" s="1" t="n">
        <v>13</v>
      </c>
      <c r="J25" s="3" t="n">
        <v>3.35</v>
      </c>
      <c r="K25" s="1" t="s">
        <v>104</v>
      </c>
      <c r="L25" s="1" t="n">
        <v>13</v>
      </c>
      <c r="M25" s="3" t="n">
        <v>472.7</v>
      </c>
      <c r="N25" s="3" t="n">
        <v>43.51</v>
      </c>
      <c r="O25" s="13" t="n">
        <f aca="false">+N25/M25</f>
        <v>0.0920456949439391</v>
      </c>
      <c r="P25" s="4" t="s">
        <v>37</v>
      </c>
      <c r="Q25" s="4" t="s">
        <v>38</v>
      </c>
      <c r="R25" s="4" t="n">
        <v>2</v>
      </c>
      <c r="S25" s="13" t="n">
        <v>0.407</v>
      </c>
      <c r="T25" s="3" t="n">
        <f aca="false">+S25*(M25-J25-N25)</f>
        <v>173.31688</v>
      </c>
      <c r="U25" s="13" t="n">
        <f aca="false">+T25/M25</f>
        <v>0.366653014596996</v>
      </c>
      <c r="V25" s="14" t="n">
        <f aca="false">+T25*U25</f>
        <v>63.5471565325458</v>
      </c>
    </row>
    <row r="26" customFormat="false" ht="13.8" hidden="false" customHeight="false" outlineLevel="0" collapsed="false">
      <c r="A26" s="1" t="n">
        <v>18</v>
      </c>
      <c r="B26" s="1" t="n">
        <v>1</v>
      </c>
      <c r="C26" s="4" t="s">
        <v>105</v>
      </c>
      <c r="D26" s="1" t="n">
        <v>19899863668</v>
      </c>
      <c r="E26" s="2" t="s">
        <v>106</v>
      </c>
      <c r="F26" s="1" t="n">
        <v>3862</v>
      </c>
      <c r="G26" s="1" t="n">
        <v>48</v>
      </c>
      <c r="H26" s="1" t="s">
        <v>49</v>
      </c>
      <c r="I26" s="1" t="n">
        <v>2</v>
      </c>
      <c r="J26" s="3" t="n">
        <v>15.08</v>
      </c>
      <c r="K26" s="1" t="s">
        <v>107</v>
      </c>
      <c r="L26" s="1" t="n">
        <v>2</v>
      </c>
      <c r="M26" s="3" t="n">
        <v>116.8</v>
      </c>
      <c r="N26" s="3" t="n">
        <v>30.17</v>
      </c>
      <c r="O26" s="13" t="n">
        <f aca="false">+N26/M26</f>
        <v>0.258304794520548</v>
      </c>
      <c r="P26" s="4" t="s">
        <v>37</v>
      </c>
      <c r="Q26" s="4" t="s">
        <v>72</v>
      </c>
      <c r="R26" s="4" t="n">
        <v>2</v>
      </c>
      <c r="S26" s="13" t="n">
        <v>0.177</v>
      </c>
      <c r="T26" s="3" t="n">
        <f aca="false">+S26*(M26-J26-N26)</f>
        <v>12.66435</v>
      </c>
      <c r="U26" s="13" t="n">
        <f aca="false">+T26/M26</f>
        <v>0.108427654109589</v>
      </c>
      <c r="V26" s="14" t="n">
        <f aca="false">+T26*U26</f>
        <v>1.37316576132277</v>
      </c>
    </row>
    <row r="27" customFormat="false" ht="13.8" hidden="false" customHeight="false" outlineLevel="0" collapsed="false">
      <c r="A27" s="1" t="n">
        <v>8</v>
      </c>
      <c r="B27" s="1" t="n">
        <v>1</v>
      </c>
      <c r="C27" s="4" t="s">
        <v>108</v>
      </c>
      <c r="D27" s="1" t="n">
        <v>23393517180</v>
      </c>
      <c r="E27" s="2" t="s">
        <v>109</v>
      </c>
      <c r="F27" s="1" t="n">
        <v>5992</v>
      </c>
      <c r="G27" s="1" t="n">
        <v>77</v>
      </c>
      <c r="H27" s="1" t="s">
        <v>110</v>
      </c>
      <c r="I27" s="1" t="n">
        <v>5</v>
      </c>
      <c r="J27" s="3" t="n">
        <v>15.95</v>
      </c>
      <c r="K27" s="1" t="s">
        <v>111</v>
      </c>
      <c r="L27" s="1" t="n">
        <v>6</v>
      </c>
      <c r="M27" s="3" t="n">
        <v>599.4</v>
      </c>
      <c r="N27" s="3" t="n">
        <v>79.77</v>
      </c>
      <c r="O27" s="13" t="n">
        <f aca="false">+N27/M27</f>
        <v>0.133083083083083</v>
      </c>
      <c r="P27" s="4" t="s">
        <v>37</v>
      </c>
      <c r="Q27" s="4" t="s">
        <v>72</v>
      </c>
      <c r="R27" s="4" t="n">
        <v>4</v>
      </c>
      <c r="S27" s="13" t="n">
        <v>0.372</v>
      </c>
      <c r="T27" s="3" t="n">
        <f aca="false">+S27*(M27-J27-N27)</f>
        <v>187.36896</v>
      </c>
      <c r="U27" s="13" t="n">
        <f aca="false">+T27/M27</f>
        <v>0.312594194194194</v>
      </c>
      <c r="V27" s="14" t="n">
        <f aca="false">+T27*U27</f>
        <v>58.5704490682042</v>
      </c>
    </row>
    <row r="28" customFormat="false" ht="13.8" hidden="false" customHeight="false" outlineLevel="0" collapsed="false">
      <c r="A28" s="1" t="n">
        <v>3</v>
      </c>
      <c r="B28" s="1" t="n">
        <v>1</v>
      </c>
      <c r="C28" s="4" t="s">
        <v>33</v>
      </c>
      <c r="D28" s="1" t="n">
        <v>20997495265</v>
      </c>
      <c r="E28" s="2" t="s">
        <v>112</v>
      </c>
      <c r="F28" s="1" t="n">
        <v>26902</v>
      </c>
      <c r="G28" s="1" t="n">
        <v>368</v>
      </c>
      <c r="H28" s="1" t="s">
        <v>113</v>
      </c>
      <c r="I28" s="1" t="n">
        <v>26</v>
      </c>
      <c r="J28" s="3" t="n">
        <v>7.51</v>
      </c>
      <c r="K28" s="1" t="s">
        <v>114</v>
      </c>
      <c r="L28" s="1" t="n">
        <v>26</v>
      </c>
      <c r="M28" s="3" t="n">
        <v>1883.4</v>
      </c>
      <c r="N28" s="3" t="n">
        <v>195.33</v>
      </c>
      <c r="O28" s="13" t="n">
        <f aca="false">+N28/M28</f>
        <v>0.103711373048742</v>
      </c>
      <c r="P28" s="4" t="s">
        <v>37</v>
      </c>
      <c r="Q28" s="4" t="s">
        <v>38</v>
      </c>
      <c r="R28" s="4" t="n">
        <v>4</v>
      </c>
      <c r="S28" s="13" t="n">
        <v>0.376</v>
      </c>
      <c r="T28" s="3" t="n">
        <f aca="false">+S28*(M28-J28-N28)</f>
        <v>631.89056</v>
      </c>
      <c r="U28" s="13" t="n">
        <f aca="false">+T28/M28</f>
        <v>0.335505235212913</v>
      </c>
      <c r="V28" s="14" t="n">
        <f aca="false">+T28*U28</f>
        <v>212.002590961619</v>
      </c>
    </row>
    <row r="29" customFormat="false" ht="13.8" hidden="false" customHeight="false" outlineLevel="0" collapsed="false">
      <c r="A29" s="1" t="n">
        <v>22</v>
      </c>
      <c r="B29" s="1" t="n">
        <v>1</v>
      </c>
      <c r="C29" s="4" t="s">
        <v>51</v>
      </c>
      <c r="D29" s="1" t="n">
        <v>22298698288</v>
      </c>
      <c r="E29" s="2" t="s">
        <v>115</v>
      </c>
      <c r="F29" s="1" t="n">
        <v>332</v>
      </c>
      <c r="G29" s="1" t="n">
        <v>3</v>
      </c>
      <c r="H29" s="1" t="s">
        <v>116</v>
      </c>
      <c r="I29" s="1" t="n">
        <v>0</v>
      </c>
      <c r="J29" s="3" t="n">
        <v>0</v>
      </c>
      <c r="K29" s="1" t="s">
        <v>117</v>
      </c>
      <c r="L29" s="1" t="n">
        <v>0</v>
      </c>
      <c r="M29" s="3" t="n">
        <v>0</v>
      </c>
      <c r="N29" s="3" t="n">
        <v>0.49</v>
      </c>
      <c r="O29" s="13" t="e">
        <f aca="false">+N29/M29</f>
        <v>#DIV/0!</v>
      </c>
      <c r="P29" s="4" t="s">
        <v>37</v>
      </c>
      <c r="Q29" s="4" t="s">
        <v>55</v>
      </c>
      <c r="R29" s="4" t="n">
        <v>5</v>
      </c>
      <c r="S29" s="13" t="n">
        <v>0.297</v>
      </c>
      <c r="T29" s="3" t="n">
        <f aca="false">+S29*(M29-J29-N29)</f>
        <v>-0.14553</v>
      </c>
      <c r="U29" s="13" t="e">
        <f aca="false">+T29/M29</f>
        <v>#DIV/0!</v>
      </c>
      <c r="V29" s="14" t="e">
        <f aca="false">+T29*U29</f>
        <v>#DIV/0!</v>
      </c>
    </row>
    <row r="30" customFormat="false" ht="13.8" hidden="false" customHeight="false" outlineLevel="0" collapsed="false">
      <c r="A30" s="1" t="n">
        <v>31</v>
      </c>
      <c r="B30" s="1" t="n">
        <v>1</v>
      </c>
      <c r="C30" s="4" t="s">
        <v>22</v>
      </c>
      <c r="D30" s="1" t="n">
        <v>18976211935</v>
      </c>
      <c r="E30" s="2" t="s">
        <v>118</v>
      </c>
      <c r="F30" s="1" t="n">
        <v>9122</v>
      </c>
      <c r="G30" s="1" t="n">
        <v>191</v>
      </c>
      <c r="H30" s="1" t="s">
        <v>119</v>
      </c>
      <c r="I30" s="1" t="n">
        <v>7</v>
      </c>
      <c r="J30" s="3" t="n">
        <v>9.76</v>
      </c>
      <c r="K30" s="1" t="s">
        <v>120</v>
      </c>
      <c r="L30" s="1" t="n">
        <v>7</v>
      </c>
      <c r="M30" s="3" t="n">
        <v>419.9</v>
      </c>
      <c r="N30" s="3" t="n">
        <v>68.35</v>
      </c>
      <c r="O30" s="13" t="n">
        <f aca="false">+N30/M30</f>
        <v>0.162776851631341</v>
      </c>
      <c r="P30" s="4" t="s">
        <v>26</v>
      </c>
      <c r="Q30" s="4" t="s">
        <v>26</v>
      </c>
      <c r="R30" s="4" t="n">
        <v>10</v>
      </c>
      <c r="S30" s="13" t="n">
        <v>0.281</v>
      </c>
      <c r="T30" s="3" t="n">
        <f aca="false">+S30*(M30-J30-N30)</f>
        <v>96.04299</v>
      </c>
      <c r="U30" s="13" t="n">
        <f aca="false">+T30/M30</f>
        <v>0.228728244820195</v>
      </c>
      <c r="V30" s="14" t="n">
        <f aca="false">+T30*U30</f>
        <v>21.9677445299836</v>
      </c>
    </row>
    <row r="31" customFormat="false" ht="13.8" hidden="false" customHeight="false" outlineLevel="0" collapsed="false">
      <c r="A31" s="1" t="n">
        <v>25</v>
      </c>
      <c r="B31" s="1" t="n">
        <v>1</v>
      </c>
      <c r="C31" s="4" t="s">
        <v>22</v>
      </c>
      <c r="D31" s="1" t="n">
        <v>22797389671</v>
      </c>
      <c r="E31" s="2" t="s">
        <v>121</v>
      </c>
      <c r="F31" s="1" t="n">
        <v>87872</v>
      </c>
      <c r="G31" s="1" t="n">
        <v>2315</v>
      </c>
      <c r="H31" s="1" t="s">
        <v>122</v>
      </c>
      <c r="I31" s="1" t="n">
        <v>80</v>
      </c>
      <c r="J31" s="3" t="n">
        <v>4.96</v>
      </c>
      <c r="K31" s="1" t="s">
        <v>123</v>
      </c>
      <c r="L31" s="1" t="n">
        <v>81</v>
      </c>
      <c r="M31" s="3" t="n">
        <v>5455.08</v>
      </c>
      <c r="N31" s="3" t="n">
        <v>396.55</v>
      </c>
      <c r="O31" s="13" t="n">
        <f aca="false">+N31/M31</f>
        <v>0.0726937093498171</v>
      </c>
      <c r="P31" s="4" t="s">
        <v>26</v>
      </c>
      <c r="Q31" s="4" t="s">
        <v>26</v>
      </c>
      <c r="R31" s="4" t="n">
        <v>10</v>
      </c>
      <c r="S31" s="13" t="n">
        <v>0.281</v>
      </c>
      <c r="T31" s="3" t="n">
        <f aca="false">+S31*(M31-J31-N31)</f>
        <v>1420.05317</v>
      </c>
      <c r="U31" s="13" t="n">
        <f aca="false">+T31/M31</f>
        <v>0.260317570044802</v>
      </c>
      <c r="V31" s="14" t="n">
        <f aca="false">+T31*U31</f>
        <v>369.664790548819</v>
      </c>
    </row>
    <row r="32" customFormat="false" ht="13.8" hidden="false" customHeight="false" outlineLevel="0" collapsed="false">
      <c r="A32" s="1" t="n">
        <v>62</v>
      </c>
      <c r="B32" s="1" t="n">
        <v>2</v>
      </c>
      <c r="C32" s="4" t="s">
        <v>22</v>
      </c>
      <c r="D32" s="1" t="n">
        <v>22896684408</v>
      </c>
      <c r="E32" s="2" t="s">
        <v>124</v>
      </c>
      <c r="F32" s="1" t="n">
        <v>3</v>
      </c>
      <c r="G32" s="1" t="n">
        <v>0</v>
      </c>
      <c r="H32" s="13" t="n">
        <v>0</v>
      </c>
      <c r="I32" s="1" t="n">
        <v>0</v>
      </c>
      <c r="J32" s="3" t="n">
        <v>0</v>
      </c>
      <c r="K32" s="1" t="n">
        <v>0</v>
      </c>
      <c r="L32" s="1" t="n">
        <v>0</v>
      </c>
      <c r="M32" s="3" t="n">
        <v>0</v>
      </c>
      <c r="N32" s="3" t="n">
        <v>0</v>
      </c>
      <c r="O32" s="13" t="e">
        <f aca="false">+N32/M32</f>
        <v>#DIV/0!</v>
      </c>
      <c r="P32" s="4" t="s">
        <v>26</v>
      </c>
      <c r="Q32" s="4" t="s">
        <v>125</v>
      </c>
      <c r="R32" s="4" t="n">
        <v>10</v>
      </c>
      <c r="S32" s="13" t="n">
        <v>0.317</v>
      </c>
      <c r="T32" s="3" t="n">
        <f aca="false">+S32*(M32-J32-N32)</f>
        <v>0</v>
      </c>
      <c r="U32" s="13" t="e">
        <f aca="false">+T32/M32</f>
        <v>#DIV/0!</v>
      </c>
      <c r="V32" s="14" t="e">
        <f aca="false">+T32*U32</f>
        <v>#DIV/0!</v>
      </c>
    </row>
    <row r="33" customFormat="false" ht="13.8" hidden="false" customHeight="false" outlineLevel="0" collapsed="false">
      <c r="A33" s="1" t="n">
        <v>37</v>
      </c>
      <c r="B33" s="1" t="n">
        <v>2</v>
      </c>
      <c r="C33" s="4" t="s">
        <v>126</v>
      </c>
      <c r="D33" s="1" t="n">
        <v>22629854054</v>
      </c>
      <c r="E33" s="2" t="s">
        <v>127</v>
      </c>
      <c r="F33" s="1" t="n">
        <v>11443</v>
      </c>
      <c r="G33" s="1" t="n">
        <v>243</v>
      </c>
      <c r="H33" s="13" t="n">
        <v>0.0212</v>
      </c>
      <c r="I33" s="1" t="n">
        <v>23</v>
      </c>
      <c r="J33" s="3" t="n">
        <v>3.62</v>
      </c>
      <c r="K33" s="13" t="n">
        <v>0.0947</v>
      </c>
      <c r="L33" s="1" t="n">
        <v>27</v>
      </c>
      <c r="M33" s="3" t="n">
        <v>896.4</v>
      </c>
      <c r="N33" s="3" t="n">
        <v>83.25</v>
      </c>
      <c r="O33" s="13" t="n">
        <f aca="false">+N33/M33</f>
        <v>0.0928714859437751</v>
      </c>
      <c r="P33" s="4" t="s">
        <v>37</v>
      </c>
      <c r="Q33" s="4" t="s">
        <v>128</v>
      </c>
      <c r="R33" s="4" t="n">
        <v>1</v>
      </c>
      <c r="S33" s="13" t="n">
        <v>0.384</v>
      </c>
      <c r="T33" s="3" t="n">
        <f aca="false">+S33*(M33-J33-N33)</f>
        <v>310.85952</v>
      </c>
      <c r="U33" s="13" t="n">
        <f aca="false">+T33/M33</f>
        <v>0.346786613119143</v>
      </c>
      <c r="V33" s="14" t="n">
        <f aca="false">+T33*U33</f>
        <v>107.801920096643</v>
      </c>
    </row>
    <row r="34" customFormat="false" ht="13.8" hidden="false" customHeight="false" outlineLevel="0" collapsed="false">
      <c r="A34" s="1" t="n">
        <v>36</v>
      </c>
      <c r="B34" s="1" t="n">
        <v>2</v>
      </c>
      <c r="C34" s="4" t="s">
        <v>129</v>
      </c>
      <c r="D34" s="1" t="n">
        <v>45257455937</v>
      </c>
      <c r="E34" s="2" t="s">
        <v>130</v>
      </c>
      <c r="F34" s="1" t="n">
        <v>53019</v>
      </c>
      <c r="G34" s="1" t="n">
        <v>1191</v>
      </c>
      <c r="H34" s="13" t="n">
        <v>0.0225</v>
      </c>
      <c r="I34" s="1" t="n">
        <v>47</v>
      </c>
      <c r="J34" s="3" t="n">
        <v>6.79</v>
      </c>
      <c r="K34" s="13" t="n">
        <v>0.0395</v>
      </c>
      <c r="L34" s="1" t="n">
        <v>51</v>
      </c>
      <c r="M34" s="3" t="n">
        <v>2367.99</v>
      </c>
      <c r="N34" s="3" t="n">
        <v>318.98</v>
      </c>
      <c r="O34" s="13" t="n">
        <f aca="false">+N34/M34</f>
        <v>0.1347049607473</v>
      </c>
      <c r="P34" s="4" t="s">
        <v>37</v>
      </c>
      <c r="Q34" s="4" t="s">
        <v>131</v>
      </c>
      <c r="R34" s="4" t="n">
        <v>1</v>
      </c>
      <c r="S34" s="13" t="n">
        <v>0.177</v>
      </c>
      <c r="T34" s="3" t="n">
        <f aca="false">+S34*(M34-J34-N34)</f>
        <v>361.47294</v>
      </c>
      <c r="U34" s="13" t="n">
        <f aca="false">+T34/M34</f>
        <v>0.152649690243624</v>
      </c>
      <c r="V34" s="14" t="n">
        <f aca="false">+T34*U34</f>
        <v>55.1787323224522</v>
      </c>
    </row>
    <row r="35" customFormat="false" ht="13.8" hidden="false" customHeight="false" outlineLevel="0" collapsed="false">
      <c r="A35" s="1" t="n">
        <v>43</v>
      </c>
      <c r="B35" s="1" t="n">
        <v>2</v>
      </c>
      <c r="C35" s="4" t="s">
        <v>132</v>
      </c>
      <c r="D35" s="1" t="n">
        <v>50807158309</v>
      </c>
      <c r="E35" s="2" t="s">
        <v>133</v>
      </c>
      <c r="F35" s="1" t="n">
        <v>11702</v>
      </c>
      <c r="G35" s="1" t="n">
        <v>245</v>
      </c>
      <c r="H35" s="13" t="n">
        <v>0.0209</v>
      </c>
      <c r="I35" s="1" t="n">
        <v>11</v>
      </c>
      <c r="J35" s="3" t="n">
        <v>5.96</v>
      </c>
      <c r="K35" s="13" t="n">
        <v>0.0449</v>
      </c>
      <c r="L35" s="1" t="n">
        <v>12</v>
      </c>
      <c r="M35" s="3" t="n">
        <v>513.01</v>
      </c>
      <c r="N35" s="3" t="n">
        <v>65.52</v>
      </c>
      <c r="O35" s="13" t="n">
        <f aca="false">+N35/M35</f>
        <v>0.127716808639208</v>
      </c>
      <c r="P35" s="4" t="s">
        <v>37</v>
      </c>
      <c r="Q35" s="4" t="s">
        <v>134</v>
      </c>
      <c r="R35" s="4" t="n">
        <v>1</v>
      </c>
      <c r="S35" s="13" t="n">
        <v>0.201</v>
      </c>
      <c r="T35" s="3" t="n">
        <f aca="false">+S35*(M35-J35-N35)</f>
        <v>88.74753</v>
      </c>
      <c r="U35" s="13" t="n">
        <f aca="false">+T35/M35</f>
        <v>0.172993762304828</v>
      </c>
      <c r="V35" s="14" t="n">
        <f aca="false">+T35*U35</f>
        <v>15.3527691099606</v>
      </c>
    </row>
    <row r="36" customFormat="false" ht="13.8" hidden="false" customHeight="false" outlineLevel="0" collapsed="false">
      <c r="A36" s="1" t="n">
        <v>46</v>
      </c>
      <c r="B36" s="1" t="n">
        <v>2</v>
      </c>
      <c r="C36" s="4" t="s">
        <v>135</v>
      </c>
      <c r="D36" s="1" t="n">
        <v>58251764221</v>
      </c>
      <c r="E36" s="2" t="s">
        <v>136</v>
      </c>
      <c r="F36" s="1" t="n">
        <v>4406</v>
      </c>
      <c r="G36" s="1" t="n">
        <v>61</v>
      </c>
      <c r="H36" s="13" t="n">
        <v>0.0138</v>
      </c>
      <c r="I36" s="1" t="n">
        <v>2</v>
      </c>
      <c r="J36" s="3" t="n">
        <v>6.78</v>
      </c>
      <c r="K36" s="13" t="n">
        <v>0.0328</v>
      </c>
      <c r="L36" s="1" t="n">
        <v>2</v>
      </c>
      <c r="M36" s="3" t="n">
        <v>79.8</v>
      </c>
      <c r="N36" s="3" t="n">
        <v>13.57</v>
      </c>
      <c r="O36" s="13" t="n">
        <f aca="false">+N36/M36</f>
        <v>0.170050125313283</v>
      </c>
      <c r="P36" s="4" t="s">
        <v>37</v>
      </c>
      <c r="Q36" s="4" t="s">
        <v>137</v>
      </c>
      <c r="R36" s="4" t="n">
        <v>1</v>
      </c>
      <c r="S36" s="13" t="n">
        <v>0.163</v>
      </c>
      <c r="T36" s="3" t="n">
        <f aca="false">+S36*(M36-J36-N36)</f>
        <v>9.69035</v>
      </c>
      <c r="U36" s="13" t="n">
        <f aca="false">+T36/M36</f>
        <v>0.121432957393484</v>
      </c>
      <c r="V36" s="14" t="n">
        <f aca="false">+T36*U36</f>
        <v>1.17672785867795</v>
      </c>
    </row>
    <row r="37" customFormat="false" ht="13.8" hidden="false" customHeight="false" outlineLevel="0" collapsed="false">
      <c r="A37" s="1" t="n">
        <v>38</v>
      </c>
      <c r="B37" s="1" t="n">
        <v>2</v>
      </c>
      <c r="C37" s="4" t="s">
        <v>51</v>
      </c>
      <c r="D37" s="1" t="n">
        <v>23329850370</v>
      </c>
      <c r="E37" s="2" t="s">
        <v>138</v>
      </c>
      <c r="F37" s="1" t="n">
        <v>12587</v>
      </c>
      <c r="G37" s="1" t="n">
        <v>286</v>
      </c>
      <c r="H37" s="13" t="n">
        <v>0.0227</v>
      </c>
      <c r="I37" s="1" t="n">
        <v>13</v>
      </c>
      <c r="J37" s="3" t="n">
        <v>4.91</v>
      </c>
      <c r="K37" s="13" t="n">
        <v>0.0455</v>
      </c>
      <c r="L37" s="1" t="n">
        <v>13</v>
      </c>
      <c r="M37" s="3" t="n">
        <v>769.71</v>
      </c>
      <c r="N37" s="3" t="n">
        <v>63.85</v>
      </c>
      <c r="O37" s="13" t="n">
        <f aca="false">+N37/M37</f>
        <v>0.0829533200815892</v>
      </c>
      <c r="P37" s="4" t="s">
        <v>37</v>
      </c>
      <c r="Q37" s="4" t="s">
        <v>55</v>
      </c>
      <c r="R37" s="4" t="n">
        <v>1</v>
      </c>
      <c r="S37" s="13" t="n">
        <v>0.311</v>
      </c>
      <c r="T37" s="3" t="n">
        <f aca="false">+S37*(M37-J37-N37)</f>
        <v>217.99545</v>
      </c>
      <c r="U37" s="13" t="n">
        <f aca="false">+T37/M37</f>
        <v>0.283217640410025</v>
      </c>
      <c r="V37" s="14" t="n">
        <f aca="false">+T37*U37</f>
        <v>61.7401569691215</v>
      </c>
    </row>
    <row r="38" customFormat="false" ht="13.8" hidden="false" customHeight="false" outlineLevel="0" collapsed="false">
      <c r="A38" s="1" t="n">
        <v>61</v>
      </c>
      <c r="B38" s="1" t="n">
        <v>2</v>
      </c>
      <c r="C38" s="4" t="s">
        <v>39</v>
      </c>
      <c r="D38" s="1" t="n">
        <v>23792918193</v>
      </c>
      <c r="E38" s="2" t="s">
        <v>139</v>
      </c>
      <c r="F38" s="1" t="n">
        <v>1861</v>
      </c>
      <c r="G38" s="1" t="n">
        <v>47</v>
      </c>
      <c r="H38" s="13" t="n">
        <v>0.0253</v>
      </c>
      <c r="I38" s="1" t="n">
        <v>2</v>
      </c>
      <c r="J38" s="3" t="n">
        <v>4.19</v>
      </c>
      <c r="K38" s="13" t="n">
        <v>0.0426</v>
      </c>
      <c r="L38" s="1" t="n">
        <v>2</v>
      </c>
      <c r="M38" s="3" t="n">
        <v>97.8</v>
      </c>
      <c r="N38" s="3" t="n">
        <v>8.38</v>
      </c>
      <c r="O38" s="13" t="n">
        <f aca="false">+N38/M38</f>
        <v>0.0856850715746421</v>
      </c>
      <c r="P38" s="4" t="s">
        <v>26</v>
      </c>
      <c r="Q38" s="4" t="s">
        <v>26</v>
      </c>
      <c r="R38" s="4" t="n">
        <v>5</v>
      </c>
      <c r="S38" s="13" t="n">
        <v>0.343</v>
      </c>
      <c r="T38" s="3" t="n">
        <f aca="false">+S38*(M38-J38-N38)</f>
        <v>29.23389</v>
      </c>
      <c r="U38" s="13" t="n">
        <f aca="false">+T38/M38</f>
        <v>0.298915030674847</v>
      </c>
      <c r="V38" s="14" t="n">
        <f aca="false">+T38*U38</f>
        <v>8.73844912609509</v>
      </c>
    </row>
    <row r="39" customFormat="false" ht="13.8" hidden="false" customHeight="false" outlineLevel="0" collapsed="false">
      <c r="A39" s="1" t="n">
        <v>55</v>
      </c>
      <c r="B39" s="1" t="n">
        <v>2</v>
      </c>
      <c r="C39" s="4" t="s">
        <v>22</v>
      </c>
      <c r="D39" s="1" t="n">
        <v>23997394407</v>
      </c>
      <c r="E39" s="2" t="s">
        <v>140</v>
      </c>
      <c r="F39" s="1" t="n">
        <v>83138</v>
      </c>
      <c r="G39" s="1" t="n">
        <v>1707</v>
      </c>
      <c r="H39" s="13" t="n">
        <v>0.0205</v>
      </c>
      <c r="I39" s="1" t="n">
        <v>86</v>
      </c>
      <c r="J39" s="3" t="n">
        <v>4.77</v>
      </c>
      <c r="K39" s="13" t="n">
        <v>0.0504</v>
      </c>
      <c r="L39" s="1" t="n">
        <v>89</v>
      </c>
      <c r="M39" s="3" t="n">
        <v>5270.17</v>
      </c>
      <c r="N39" s="3" t="n">
        <v>410.6</v>
      </c>
      <c r="O39" s="13" t="n">
        <f aca="false">+N39/M39</f>
        <v>0.07791020024022</v>
      </c>
      <c r="P39" s="4" t="s">
        <v>26</v>
      </c>
      <c r="Q39" s="4" t="s">
        <v>26</v>
      </c>
      <c r="R39" s="4" t="n">
        <v>10</v>
      </c>
      <c r="S39" s="13" t="n">
        <v>0.281</v>
      </c>
      <c r="T39" s="3" t="n">
        <f aca="false">+S39*(M39-J39-N39)</f>
        <v>1364.1988</v>
      </c>
      <c r="U39" s="13" t="n">
        <f aca="false">+T39/M39</f>
        <v>0.258852902278295</v>
      </c>
      <c r="V39" s="14" t="n">
        <f aca="false">+T39*U39</f>
        <v>353.126818664567</v>
      </c>
    </row>
    <row r="40" customFormat="false" ht="13.8" hidden="false" customHeight="false" outlineLevel="0" collapsed="false">
      <c r="A40" s="1" t="n">
        <v>54</v>
      </c>
      <c r="B40" s="1" t="n">
        <v>2</v>
      </c>
      <c r="C40" s="4" t="s">
        <v>22</v>
      </c>
      <c r="D40" s="1" t="n">
        <v>22695573910</v>
      </c>
      <c r="E40" s="2" t="s">
        <v>141</v>
      </c>
      <c r="F40" s="1" t="n">
        <v>90928</v>
      </c>
      <c r="G40" s="1" t="n">
        <v>2335</v>
      </c>
      <c r="H40" s="13" t="n">
        <v>0.0257</v>
      </c>
      <c r="I40" s="1" t="n">
        <v>103</v>
      </c>
      <c r="J40" s="3" t="n">
        <v>5.02</v>
      </c>
      <c r="K40" s="13" t="n">
        <v>0.0441</v>
      </c>
      <c r="L40" s="1" t="n">
        <v>110</v>
      </c>
      <c r="M40" s="3" t="n">
        <v>5934.2</v>
      </c>
      <c r="N40" s="3" t="n">
        <v>517.17</v>
      </c>
      <c r="O40" s="13" t="n">
        <f aca="false">+N40/M40</f>
        <v>0.0871507532607597</v>
      </c>
      <c r="P40" s="4" t="s">
        <v>26</v>
      </c>
      <c r="Q40" s="4" t="s">
        <v>26</v>
      </c>
      <c r="R40" s="4" t="n">
        <v>10</v>
      </c>
      <c r="S40" s="13" t="n">
        <v>0.281</v>
      </c>
      <c r="T40" s="3" t="n">
        <f aca="false">+S40*(M40-J40-N40)</f>
        <v>1520.77481</v>
      </c>
      <c r="U40" s="13" t="n">
        <f aca="false">+T40/M40</f>
        <v>0.256272928111624</v>
      </c>
      <c r="V40" s="14" t="n">
        <f aca="false">+T40*U40</f>
        <v>389.733413557099</v>
      </c>
    </row>
    <row r="41" customFormat="false" ht="13.8" hidden="false" customHeight="false" outlineLevel="0" collapsed="false">
      <c r="A41" s="1" t="n">
        <v>60</v>
      </c>
      <c r="B41" s="1" t="n">
        <v>2</v>
      </c>
      <c r="C41" s="4" t="s">
        <v>22</v>
      </c>
      <c r="D41" s="1" t="n">
        <v>22395579066</v>
      </c>
      <c r="E41" s="2" t="s">
        <v>142</v>
      </c>
      <c r="F41" s="1" t="n">
        <v>6192</v>
      </c>
      <c r="G41" s="1" t="n">
        <v>141</v>
      </c>
      <c r="H41" s="13" t="n">
        <v>0.0228</v>
      </c>
      <c r="I41" s="1" t="n">
        <v>2</v>
      </c>
      <c r="J41" s="3" t="n">
        <v>15.63</v>
      </c>
      <c r="K41" s="13" t="n">
        <v>0.0142</v>
      </c>
      <c r="L41" s="1" t="n">
        <v>2</v>
      </c>
      <c r="M41" s="3" t="n">
        <v>139.8</v>
      </c>
      <c r="N41" s="3" t="n">
        <v>31.26</v>
      </c>
      <c r="O41" s="13" t="n">
        <f aca="false">+N41/M41</f>
        <v>0.223605150214592</v>
      </c>
      <c r="P41" s="4" t="s">
        <v>26</v>
      </c>
      <c r="Q41" s="4" t="s">
        <v>26</v>
      </c>
      <c r="R41" s="4" t="n">
        <v>10</v>
      </c>
      <c r="S41" s="13" t="n">
        <v>0.281</v>
      </c>
      <c r="T41" s="3" t="n">
        <f aca="false">+S41*(M41-J41-N41)</f>
        <v>26.10771</v>
      </c>
      <c r="U41" s="13" t="n">
        <f aca="false">+T41/M41</f>
        <v>0.186750429184549</v>
      </c>
      <c r="V41" s="14" t="n">
        <f aca="false">+T41*U41</f>
        <v>4.87562604752575</v>
      </c>
    </row>
    <row r="42" customFormat="false" ht="13.8" hidden="false" customHeight="false" outlineLevel="0" collapsed="false">
      <c r="A42" s="1" t="n">
        <v>45</v>
      </c>
      <c r="B42" s="1" t="n">
        <v>2</v>
      </c>
      <c r="C42" s="4" t="s">
        <v>33</v>
      </c>
      <c r="D42" s="1" t="n">
        <v>22792693512</v>
      </c>
      <c r="E42" s="2" t="s">
        <v>143</v>
      </c>
      <c r="F42" s="1" t="n">
        <v>7445</v>
      </c>
      <c r="G42" s="1" t="n">
        <v>171</v>
      </c>
      <c r="H42" s="13" t="n">
        <v>0.023</v>
      </c>
      <c r="I42" s="1" t="n">
        <v>6</v>
      </c>
      <c r="J42" s="3" t="n">
        <v>9.28</v>
      </c>
      <c r="K42" s="13" t="n">
        <v>0.0351</v>
      </c>
      <c r="L42" s="1" t="n">
        <v>6</v>
      </c>
      <c r="M42" s="3" t="n">
        <v>213.36</v>
      </c>
      <c r="N42" s="3" t="n">
        <v>55.67</v>
      </c>
      <c r="O42" s="13" t="n">
        <f aca="false">+N42/M42</f>
        <v>0.260920509936258</v>
      </c>
      <c r="P42" s="4" t="s">
        <v>37</v>
      </c>
      <c r="Q42" s="4" t="s">
        <v>38</v>
      </c>
      <c r="R42" s="4" t="n">
        <v>2</v>
      </c>
      <c r="S42" s="13" t="n">
        <v>0.407</v>
      </c>
      <c r="T42" s="3" t="n">
        <f aca="false">+S42*(M42-J42-N42)</f>
        <v>60.40287</v>
      </c>
      <c r="U42" s="13" t="n">
        <f aca="false">+T42/M42</f>
        <v>0.283103065241845</v>
      </c>
      <c r="V42" s="14" t="n">
        <f aca="false">+T42*U42</f>
        <v>17.1002376464047</v>
      </c>
    </row>
    <row r="43" customFormat="false" ht="13.8" hidden="false" customHeight="false" outlineLevel="0" collapsed="false">
      <c r="A43" s="1" t="n">
        <v>39</v>
      </c>
      <c r="B43" s="1" t="n">
        <v>2</v>
      </c>
      <c r="C43" s="4" t="s">
        <v>105</v>
      </c>
      <c r="D43" s="1" t="n">
        <v>22194438407</v>
      </c>
      <c r="E43" s="2" t="s">
        <v>144</v>
      </c>
      <c r="F43" s="1" t="n">
        <v>9427</v>
      </c>
      <c r="G43" s="1" t="n">
        <v>181</v>
      </c>
      <c r="H43" s="13" t="n">
        <v>0.0192</v>
      </c>
      <c r="I43" s="1" t="n">
        <v>14</v>
      </c>
      <c r="J43" s="3" t="n">
        <v>5.32</v>
      </c>
      <c r="K43" s="13" t="n">
        <v>0.0773</v>
      </c>
      <c r="L43" s="1" t="n">
        <v>14</v>
      </c>
      <c r="M43" s="3" t="n">
        <v>757.08</v>
      </c>
      <c r="N43" s="3" t="n">
        <v>74.45</v>
      </c>
      <c r="O43" s="13" t="n">
        <f aca="false">+N43/M43</f>
        <v>0.0983383526179532</v>
      </c>
      <c r="P43" s="4" t="s">
        <v>37</v>
      </c>
      <c r="Q43" s="4" t="s">
        <v>72</v>
      </c>
      <c r="R43" s="4" t="n">
        <v>2</v>
      </c>
      <c r="S43" s="13" t="n">
        <v>0.177</v>
      </c>
      <c r="T43" s="3" t="n">
        <f aca="false">+S43*(M43-J43-N43)</f>
        <v>119.88387</v>
      </c>
      <c r="U43" s="13" t="n">
        <f aca="false">+T43/M43</f>
        <v>0.158350332857822</v>
      </c>
      <c r="V43" s="14" t="n">
        <f aca="false">+T43*U43</f>
        <v>18.9836507187839</v>
      </c>
    </row>
    <row r="44" customFormat="false" ht="13.8" hidden="false" customHeight="false" outlineLevel="0" collapsed="false">
      <c r="A44" s="1" t="n">
        <v>47</v>
      </c>
      <c r="B44" s="1" t="n">
        <v>2</v>
      </c>
      <c r="C44" s="4" t="s">
        <v>135</v>
      </c>
      <c r="D44" s="1" t="n">
        <v>22194735251</v>
      </c>
      <c r="E44" s="2" t="s">
        <v>145</v>
      </c>
      <c r="F44" s="1" t="n">
        <v>1961</v>
      </c>
      <c r="G44" s="1" t="n">
        <v>23</v>
      </c>
      <c r="H44" s="13" t="n">
        <v>0.0117</v>
      </c>
      <c r="I44" s="1" t="n">
        <v>1</v>
      </c>
      <c r="J44" s="3" t="n">
        <v>4.1</v>
      </c>
      <c r="K44" s="13" t="n">
        <v>0.0435</v>
      </c>
      <c r="L44" s="1" t="n">
        <v>1</v>
      </c>
      <c r="M44" s="3" t="n">
        <v>69.9</v>
      </c>
      <c r="N44" s="3" t="n">
        <v>4.1</v>
      </c>
      <c r="O44" s="13" t="n">
        <f aca="false">+N44/M44</f>
        <v>0.0586552217453505</v>
      </c>
      <c r="P44" s="4" t="s">
        <v>37</v>
      </c>
      <c r="Q44" s="4" t="s">
        <v>137</v>
      </c>
      <c r="R44" s="4" t="n">
        <v>2</v>
      </c>
      <c r="S44" s="13" t="n">
        <v>0.186</v>
      </c>
      <c r="T44" s="3" t="n">
        <f aca="false">+S44*(M44-J44-N44)</f>
        <v>11.4762</v>
      </c>
      <c r="U44" s="13" t="n">
        <f aca="false">+T44/M44</f>
        <v>0.16418025751073</v>
      </c>
      <c r="V44" s="14" t="n">
        <f aca="false">+T44*U44</f>
        <v>1.88416547124464</v>
      </c>
    </row>
    <row r="45" customFormat="false" ht="13.8" hidden="false" customHeight="false" outlineLevel="0" collapsed="false">
      <c r="A45" s="1" t="n">
        <v>44</v>
      </c>
      <c r="B45" s="1" t="n">
        <v>2</v>
      </c>
      <c r="C45" s="4" t="s">
        <v>33</v>
      </c>
      <c r="D45" s="1" t="n">
        <v>23829845447</v>
      </c>
      <c r="E45" s="2" t="s">
        <v>146</v>
      </c>
      <c r="F45" s="1" t="n">
        <v>4163</v>
      </c>
      <c r="G45" s="1" t="n">
        <v>60</v>
      </c>
      <c r="H45" s="13" t="n">
        <v>0.0144</v>
      </c>
      <c r="I45" s="1" t="n">
        <v>5</v>
      </c>
      <c r="J45" s="3" t="n">
        <v>6.01</v>
      </c>
      <c r="K45" s="13" t="n">
        <v>0.0833</v>
      </c>
      <c r="L45" s="1" t="n">
        <v>5</v>
      </c>
      <c r="M45" s="3" t="n">
        <v>214.46</v>
      </c>
      <c r="N45" s="3" t="n">
        <v>30.07</v>
      </c>
      <c r="O45" s="13" t="n">
        <f aca="false">+N45/M45</f>
        <v>0.140212627063322</v>
      </c>
      <c r="P45" s="4" t="s">
        <v>37</v>
      </c>
      <c r="Q45" s="4" t="s">
        <v>38</v>
      </c>
      <c r="R45" s="4" t="n">
        <v>2</v>
      </c>
      <c r="S45" s="13" t="n">
        <v>0.407</v>
      </c>
      <c r="T45" s="3" t="n">
        <f aca="false">+S45*(M45-J45-N45)</f>
        <v>72.60066</v>
      </c>
      <c r="U45" s="13" t="n">
        <f aca="false">+T45/M45</f>
        <v>0.338527744101464</v>
      </c>
      <c r="V45" s="14" t="n">
        <f aca="false">+T45*U45</f>
        <v>24.5773376500774</v>
      </c>
    </row>
    <row r="46" customFormat="false" ht="13.8" hidden="false" customHeight="false" outlineLevel="0" collapsed="false">
      <c r="A46" s="1" t="n">
        <v>49</v>
      </c>
      <c r="B46" s="1" t="n">
        <v>2</v>
      </c>
      <c r="C46" s="4" t="s">
        <v>33</v>
      </c>
      <c r="D46" s="1" t="n">
        <v>22792693513</v>
      </c>
      <c r="E46" s="2" t="s">
        <v>147</v>
      </c>
      <c r="F46" s="1" t="n">
        <v>2299</v>
      </c>
      <c r="G46" s="1" t="n">
        <v>48</v>
      </c>
      <c r="H46" s="13" t="n">
        <v>0.0209</v>
      </c>
      <c r="I46" s="1" t="n">
        <v>1</v>
      </c>
      <c r="J46" s="3" t="n">
        <v>5.73</v>
      </c>
      <c r="K46" s="13" t="n">
        <v>0.0208</v>
      </c>
      <c r="L46" s="1" t="n">
        <v>1</v>
      </c>
      <c r="M46" s="3" t="n">
        <v>36.9</v>
      </c>
      <c r="N46" s="3" t="n">
        <v>5.73</v>
      </c>
      <c r="O46" s="13" t="n">
        <f aca="false">+N46/M46</f>
        <v>0.155284552845528</v>
      </c>
      <c r="P46" s="4" t="s">
        <v>37</v>
      </c>
      <c r="Q46" s="4" t="s">
        <v>38</v>
      </c>
      <c r="R46" s="4" t="n">
        <v>2</v>
      </c>
      <c r="S46" s="13" t="n">
        <v>0.407</v>
      </c>
      <c r="T46" s="3" t="n">
        <f aca="false">+S46*(M46-J46-N46)</f>
        <v>10.35408</v>
      </c>
      <c r="U46" s="13" t="n">
        <f aca="false">+T46/M46</f>
        <v>0.28059837398374</v>
      </c>
      <c r="V46" s="14" t="n">
        <f aca="false">+T46*U46</f>
        <v>2.90533801209756</v>
      </c>
    </row>
    <row r="47" customFormat="false" ht="13.8" hidden="false" customHeight="false" outlineLevel="0" collapsed="false">
      <c r="A47" s="1" t="n">
        <v>42</v>
      </c>
      <c r="B47" s="1" t="n">
        <v>2</v>
      </c>
      <c r="C47" s="4" t="s">
        <v>33</v>
      </c>
      <c r="D47" s="1" t="n">
        <v>23194341263</v>
      </c>
      <c r="E47" s="2" t="s">
        <v>148</v>
      </c>
      <c r="F47" s="1" t="n">
        <v>5237</v>
      </c>
      <c r="G47" s="1" t="n">
        <v>90</v>
      </c>
      <c r="H47" s="13" t="n">
        <v>0.0172</v>
      </c>
      <c r="I47" s="1" t="n">
        <v>9</v>
      </c>
      <c r="J47" s="3" t="n">
        <v>5.07</v>
      </c>
      <c r="K47" s="13" t="n">
        <v>0.1</v>
      </c>
      <c r="L47" s="1" t="n">
        <v>10</v>
      </c>
      <c r="M47" s="3" t="n">
        <v>531.43</v>
      </c>
      <c r="N47" s="3" t="n">
        <v>45.61</v>
      </c>
      <c r="O47" s="13" t="n">
        <f aca="false">+N47/M47</f>
        <v>0.0858250381047363</v>
      </c>
      <c r="P47" s="4" t="s">
        <v>37</v>
      </c>
      <c r="Q47" s="4" t="s">
        <v>38</v>
      </c>
      <c r="R47" s="4" t="n">
        <v>3</v>
      </c>
      <c r="S47" s="13" t="n">
        <v>0.264</v>
      </c>
      <c r="T47" s="3" t="n">
        <f aca="false">+S47*(M47-J47-N47)</f>
        <v>126.918</v>
      </c>
      <c r="U47" s="13" t="n">
        <f aca="false">+T47/M47</f>
        <v>0.238823551549593</v>
      </c>
      <c r="V47" s="14" t="n">
        <f aca="false">+T47*U47</f>
        <v>30.3110075155712</v>
      </c>
    </row>
    <row r="48" customFormat="false" ht="13.8" hidden="false" customHeight="false" outlineLevel="0" collapsed="false">
      <c r="A48" s="1" t="n">
        <v>48</v>
      </c>
      <c r="B48" s="1" t="n">
        <v>2</v>
      </c>
      <c r="C48" s="4" t="s">
        <v>129</v>
      </c>
      <c r="D48" s="1" t="n">
        <v>51956439915</v>
      </c>
      <c r="E48" s="2" t="s">
        <v>149</v>
      </c>
      <c r="F48" s="1" t="n">
        <v>3071</v>
      </c>
      <c r="G48" s="1" t="n">
        <v>41</v>
      </c>
      <c r="H48" s="13" t="n">
        <v>0.0134</v>
      </c>
      <c r="I48" s="1" t="n">
        <v>1</v>
      </c>
      <c r="J48" s="3" t="n">
        <v>12.16</v>
      </c>
      <c r="K48" s="13" t="n">
        <v>0.0244</v>
      </c>
      <c r="L48" s="1" t="n">
        <v>1</v>
      </c>
      <c r="M48" s="3" t="n">
        <v>64.9</v>
      </c>
      <c r="N48" s="3" t="n">
        <v>12.16</v>
      </c>
      <c r="O48" s="13" t="n">
        <f aca="false">+N48/M48</f>
        <v>0.187365177195686</v>
      </c>
      <c r="P48" s="4" t="s">
        <v>37</v>
      </c>
      <c r="Q48" s="4" t="s">
        <v>131</v>
      </c>
      <c r="R48" s="4" t="n">
        <v>3</v>
      </c>
      <c r="S48" s="13" t="n">
        <v>0.264</v>
      </c>
      <c r="T48" s="3" t="n">
        <f aca="false">+S48*(M48-J48-N48)</f>
        <v>10.71312</v>
      </c>
      <c r="U48" s="13" t="n">
        <f aca="false">+T48/M48</f>
        <v>0.165071186440678</v>
      </c>
      <c r="V48" s="14" t="n">
        <f aca="false">+T48*U48</f>
        <v>1.76842742888136</v>
      </c>
    </row>
    <row r="49" customFormat="false" ht="13.8" hidden="false" customHeight="false" outlineLevel="0" collapsed="false">
      <c r="A49" s="1" t="n">
        <v>41</v>
      </c>
      <c r="B49" s="1" t="n">
        <v>2</v>
      </c>
      <c r="C49" s="4" t="s">
        <v>33</v>
      </c>
      <c r="D49" s="1" t="n">
        <v>22492098258</v>
      </c>
      <c r="E49" s="2" t="s">
        <v>150</v>
      </c>
      <c r="F49" s="1" t="n">
        <v>10832</v>
      </c>
      <c r="G49" s="1" t="n">
        <v>174</v>
      </c>
      <c r="H49" s="13" t="n">
        <v>0.0161</v>
      </c>
      <c r="I49" s="1" t="n">
        <v>11</v>
      </c>
      <c r="J49" s="3" t="n">
        <v>6.86</v>
      </c>
      <c r="K49" s="13" t="n">
        <v>0.0632</v>
      </c>
      <c r="L49" s="1" t="n">
        <v>11</v>
      </c>
      <c r="M49" s="3" t="n">
        <v>658.81</v>
      </c>
      <c r="N49" s="3" t="n">
        <v>75.48</v>
      </c>
      <c r="O49" s="13" t="n">
        <f aca="false">+N49/M49</f>
        <v>0.114570209923954</v>
      </c>
      <c r="P49" s="4" t="s">
        <v>37</v>
      </c>
      <c r="Q49" s="4" t="s">
        <v>38</v>
      </c>
      <c r="R49" s="4" t="n">
        <v>4</v>
      </c>
      <c r="S49" s="13" t="n">
        <v>0.376</v>
      </c>
      <c r="T49" s="3" t="n">
        <f aca="false">+S49*(M49-J49-N49)</f>
        <v>216.75272</v>
      </c>
      <c r="U49" s="13" t="n">
        <f aca="false">+T49/M49</f>
        <v>0.329006420667567</v>
      </c>
      <c r="V49" s="14" t="n">
        <f aca="false">+T49*U49</f>
        <v>71.3130365771594</v>
      </c>
    </row>
    <row r="50" customFormat="false" ht="13.8" hidden="false" customHeight="false" outlineLevel="0" collapsed="false">
      <c r="A50" s="1" t="n">
        <v>34</v>
      </c>
      <c r="B50" s="1" t="n">
        <v>2</v>
      </c>
      <c r="C50" s="4" t="s">
        <v>33</v>
      </c>
      <c r="D50" s="1" t="n">
        <v>21697638799</v>
      </c>
      <c r="E50" s="2" t="s">
        <v>151</v>
      </c>
      <c r="F50" s="1" t="n">
        <v>40015</v>
      </c>
      <c r="G50" s="1" t="n">
        <v>692</v>
      </c>
      <c r="H50" s="13" t="n">
        <v>0.0173</v>
      </c>
      <c r="I50" s="1" t="n">
        <v>72</v>
      </c>
      <c r="J50" s="3" t="n">
        <v>4.98</v>
      </c>
      <c r="K50" s="13" t="n">
        <v>0.104</v>
      </c>
      <c r="L50" s="1" t="n">
        <v>76</v>
      </c>
      <c r="M50" s="3" t="n">
        <v>4396.21</v>
      </c>
      <c r="N50" s="3" t="n">
        <v>358.47</v>
      </c>
      <c r="O50" s="13" t="n">
        <f aca="false">+N50/M50</f>
        <v>0.0815406907313345</v>
      </c>
      <c r="P50" s="4" t="s">
        <v>37</v>
      </c>
      <c r="Q50" s="4" t="s">
        <v>38</v>
      </c>
      <c r="R50" s="4" t="n">
        <v>4</v>
      </c>
      <c r="S50" s="13" t="n">
        <v>0.376</v>
      </c>
      <c r="T50" s="3" t="n">
        <f aca="false">+S50*(M50-J50-N50)</f>
        <v>1516.31776</v>
      </c>
      <c r="U50" s="13" t="n">
        <f aca="false">+T50/M50</f>
        <v>0.344914769767595</v>
      </c>
      <c r="V50" s="14" t="n">
        <f aca="false">+T50*U50</f>
        <v>523.000391084916</v>
      </c>
    </row>
    <row r="51" customFormat="false" ht="13.8" hidden="false" customHeight="false" outlineLevel="0" collapsed="false">
      <c r="A51" s="1" t="n">
        <v>33</v>
      </c>
      <c r="B51" s="1" t="n">
        <v>2</v>
      </c>
      <c r="C51" s="4" t="s">
        <v>33</v>
      </c>
      <c r="D51" s="1" t="n">
        <v>23497184477</v>
      </c>
      <c r="E51" s="2" t="s">
        <v>152</v>
      </c>
      <c r="F51" s="1" t="n">
        <v>80943</v>
      </c>
      <c r="G51" s="1" t="n">
        <v>1428</v>
      </c>
      <c r="H51" s="13" t="n">
        <v>0.0176</v>
      </c>
      <c r="I51" s="1" t="n">
        <v>192</v>
      </c>
      <c r="J51" s="3" t="n">
        <v>4.96</v>
      </c>
      <c r="K51" s="13" t="n">
        <v>0.1345</v>
      </c>
      <c r="L51" s="1" t="n">
        <v>198</v>
      </c>
      <c r="M51" s="3" t="n">
        <v>10956.53</v>
      </c>
      <c r="N51" s="3" t="n">
        <v>952.4</v>
      </c>
      <c r="O51" s="13" t="n">
        <f aca="false">+N51/M51</f>
        <v>0.0869253312864566</v>
      </c>
      <c r="P51" s="4" t="s">
        <v>37</v>
      </c>
      <c r="Q51" s="4" t="s">
        <v>38</v>
      </c>
      <c r="R51" s="4" t="n">
        <v>4</v>
      </c>
      <c r="S51" s="13" t="n">
        <v>0.376</v>
      </c>
      <c r="T51" s="3" t="n">
        <f aca="false">+S51*(M51-J51-N51)</f>
        <v>3759.68792</v>
      </c>
      <c r="U51" s="13" t="n">
        <f aca="false">+T51/M51</f>
        <v>0.343145860961454</v>
      </c>
      <c r="V51" s="14" t="n">
        <f aca="false">+T51*U51</f>
        <v>1290.12134825478</v>
      </c>
    </row>
    <row r="52" customFormat="false" ht="13.8" hidden="false" customHeight="false" outlineLevel="0" collapsed="false">
      <c r="A52" s="1" t="n">
        <v>35</v>
      </c>
      <c r="B52" s="1" t="n">
        <v>2</v>
      </c>
      <c r="C52" s="4" t="s">
        <v>33</v>
      </c>
      <c r="D52" s="1" t="n">
        <v>18799097725</v>
      </c>
      <c r="E52" s="2" t="s">
        <v>153</v>
      </c>
      <c r="F52" s="1" t="n">
        <v>32056</v>
      </c>
      <c r="G52" s="1" t="n">
        <v>595</v>
      </c>
      <c r="H52" s="13" t="n">
        <v>0.0186</v>
      </c>
      <c r="I52" s="1" t="n">
        <v>55</v>
      </c>
      <c r="J52" s="3" t="n">
        <v>7.06</v>
      </c>
      <c r="K52" s="13" t="n">
        <v>0.0924</v>
      </c>
      <c r="L52" s="1" t="n">
        <v>58</v>
      </c>
      <c r="M52" s="3" t="n">
        <v>3161.75</v>
      </c>
      <c r="N52" s="3" t="n">
        <v>388.53</v>
      </c>
      <c r="O52" s="13" t="n">
        <f aca="false">+N52/M52</f>
        <v>0.122884478532458</v>
      </c>
      <c r="P52" s="4" t="s">
        <v>37</v>
      </c>
      <c r="Q52" s="4" t="s">
        <v>38</v>
      </c>
      <c r="R52" s="4" t="n">
        <v>4</v>
      </c>
      <c r="S52" s="13" t="n">
        <v>0.376</v>
      </c>
      <c r="T52" s="3" t="n">
        <f aca="false">+S52*(M52-J52-N52)</f>
        <v>1040.07616</v>
      </c>
      <c r="U52" s="13" t="n">
        <f aca="false">+T52/M52</f>
        <v>0.328955850399304</v>
      </c>
      <c r="V52" s="14" t="n">
        <f aca="false">+T52*U52</f>
        <v>342.139137692843</v>
      </c>
    </row>
    <row r="53" customFormat="false" ht="13.8" hidden="false" customHeight="false" outlineLevel="0" collapsed="false">
      <c r="A53" s="1" t="n">
        <v>50</v>
      </c>
      <c r="B53" s="1" t="n">
        <v>2</v>
      </c>
      <c r="C53" s="4" t="s">
        <v>33</v>
      </c>
      <c r="D53" s="1" t="n">
        <v>18799097700</v>
      </c>
      <c r="E53" s="2" t="s">
        <v>154</v>
      </c>
      <c r="F53" s="1" t="n">
        <v>2349</v>
      </c>
      <c r="G53" s="1" t="n">
        <v>21</v>
      </c>
      <c r="H53" s="13" t="n">
        <v>0.0089</v>
      </c>
      <c r="I53" s="1" t="n">
        <v>0</v>
      </c>
      <c r="J53" s="3" t="n">
        <v>0</v>
      </c>
      <c r="K53" s="13" t="n">
        <v>0</v>
      </c>
      <c r="L53" s="1" t="n">
        <v>0</v>
      </c>
      <c r="M53" s="3" t="n">
        <v>0</v>
      </c>
      <c r="N53" s="3" t="n">
        <v>3.9</v>
      </c>
      <c r="O53" s="13" t="e">
        <f aca="false">+N53/M53</f>
        <v>#DIV/0!</v>
      </c>
      <c r="P53" s="4" t="s">
        <v>37</v>
      </c>
      <c r="Q53" s="4" t="s">
        <v>38</v>
      </c>
      <c r="R53" s="4" t="n">
        <v>4</v>
      </c>
      <c r="S53" s="13" t="n">
        <v>0.376</v>
      </c>
      <c r="T53" s="3" t="n">
        <f aca="false">+S53*(M53-J53-N53)</f>
        <v>-1.4664</v>
      </c>
      <c r="U53" s="13" t="e">
        <f aca="false">+T53/M53</f>
        <v>#DIV/0!</v>
      </c>
      <c r="V53" s="14" t="e">
        <f aca="false">+T53*U53</f>
        <v>#DIV/0!</v>
      </c>
    </row>
    <row r="54" customFormat="false" ht="13.8" hidden="false" customHeight="false" outlineLevel="0" collapsed="false">
      <c r="A54" s="1" t="n">
        <v>52</v>
      </c>
      <c r="B54" s="1" t="n">
        <v>2</v>
      </c>
      <c r="C54" s="4" t="s">
        <v>51</v>
      </c>
      <c r="D54" s="1" t="n">
        <v>22129854160</v>
      </c>
      <c r="E54" s="2" t="s">
        <v>155</v>
      </c>
      <c r="F54" s="1" t="n">
        <v>1281</v>
      </c>
      <c r="G54" s="1" t="n">
        <v>12</v>
      </c>
      <c r="H54" s="13" t="n">
        <v>0.0094</v>
      </c>
      <c r="I54" s="1" t="n">
        <v>0</v>
      </c>
      <c r="J54" s="3" t="n">
        <v>0</v>
      </c>
      <c r="K54" s="13" t="n">
        <v>0</v>
      </c>
      <c r="L54" s="1" t="n">
        <v>0</v>
      </c>
      <c r="M54" s="3" t="n">
        <v>0</v>
      </c>
      <c r="N54" s="3" t="n">
        <v>14.07</v>
      </c>
      <c r="O54" s="13" t="e">
        <f aca="false">+N54/M54</f>
        <v>#DIV/0!</v>
      </c>
      <c r="P54" s="4" t="s">
        <v>37</v>
      </c>
      <c r="Q54" s="4" t="s">
        <v>55</v>
      </c>
      <c r="R54" s="4" t="n">
        <v>5</v>
      </c>
      <c r="S54" s="13" t="n">
        <v>0.297</v>
      </c>
      <c r="T54" s="3" t="n">
        <f aca="false">+S54*(M54-J54-N54)</f>
        <v>-4.17879</v>
      </c>
      <c r="U54" s="13" t="e">
        <f aca="false">+T54/M54</f>
        <v>#DIV/0!</v>
      </c>
      <c r="V54" s="14" t="e">
        <f aca="false">+T54*U54</f>
        <v>#DIV/0!</v>
      </c>
    </row>
    <row r="55" customFormat="false" ht="13.8" hidden="false" customHeight="false" outlineLevel="0" collapsed="false">
      <c r="A55" s="1" t="n">
        <v>58</v>
      </c>
      <c r="B55" s="1" t="n">
        <v>2</v>
      </c>
      <c r="C55" s="4" t="s">
        <v>156</v>
      </c>
      <c r="D55" s="1" t="n">
        <v>19699233607</v>
      </c>
      <c r="E55" s="2" t="s">
        <v>157</v>
      </c>
      <c r="F55" s="1" t="n">
        <v>7311</v>
      </c>
      <c r="G55" s="1" t="n">
        <v>201</v>
      </c>
      <c r="H55" s="13" t="n">
        <v>0.0275</v>
      </c>
      <c r="I55" s="1" t="n">
        <v>6</v>
      </c>
      <c r="J55" s="3" t="n">
        <v>4.98</v>
      </c>
      <c r="K55" s="13" t="n">
        <v>0.0299</v>
      </c>
      <c r="L55" s="1" t="n">
        <v>6</v>
      </c>
      <c r="M55" s="3" t="n">
        <v>275.4</v>
      </c>
      <c r="N55" s="3" t="n">
        <v>29.86</v>
      </c>
      <c r="O55" s="13" t="n">
        <f aca="false">+N55/M55</f>
        <v>0.108424110384895</v>
      </c>
      <c r="P55" s="4" t="s">
        <v>26</v>
      </c>
      <c r="Q55" s="4" t="s">
        <v>26</v>
      </c>
      <c r="R55" s="4" t="n">
        <v>5</v>
      </c>
      <c r="S55" s="13" t="n">
        <v>0.343</v>
      </c>
      <c r="T55" s="3" t="n">
        <f aca="false">+S55*(M55-J55-N55)</f>
        <v>82.51208</v>
      </c>
      <c r="U55" s="13" t="n">
        <f aca="false">+T55/M55</f>
        <v>0.29960813362382</v>
      </c>
      <c r="V55" s="14" t="n">
        <f aca="false">+T55*U55</f>
        <v>24.7212902902193</v>
      </c>
    </row>
    <row r="56" customFormat="false" ht="13.8" hidden="false" customHeight="false" outlineLevel="0" collapsed="false">
      <c r="A56" s="1" t="n">
        <v>57</v>
      </c>
      <c r="B56" s="1" t="n">
        <v>2</v>
      </c>
      <c r="C56" s="4" t="s">
        <v>156</v>
      </c>
      <c r="D56" s="1" t="n">
        <v>22397421387</v>
      </c>
      <c r="E56" s="2" t="s">
        <v>158</v>
      </c>
      <c r="F56" s="1" t="n">
        <v>7889</v>
      </c>
      <c r="G56" s="1" t="n">
        <v>219</v>
      </c>
      <c r="H56" s="13" t="n">
        <v>0.0278</v>
      </c>
      <c r="I56" s="1" t="n">
        <v>8</v>
      </c>
      <c r="J56" s="3" t="n">
        <v>4.72</v>
      </c>
      <c r="K56" s="13" t="n">
        <v>0.0365</v>
      </c>
      <c r="L56" s="1" t="n">
        <v>8</v>
      </c>
      <c r="M56" s="3" t="n">
        <v>391.2</v>
      </c>
      <c r="N56" s="3" t="n">
        <v>37.74</v>
      </c>
      <c r="O56" s="13" t="n">
        <f aca="false">+N56/M56</f>
        <v>0.0964723926380368</v>
      </c>
      <c r="P56" s="4" t="s">
        <v>26</v>
      </c>
      <c r="Q56" s="4" t="s">
        <v>26</v>
      </c>
      <c r="R56" s="4" t="n">
        <v>5</v>
      </c>
      <c r="S56" s="13" t="n">
        <v>0.343</v>
      </c>
      <c r="T56" s="3" t="n">
        <f aca="false">+S56*(M56-J56-N56)</f>
        <v>119.61782</v>
      </c>
      <c r="U56" s="13" t="n">
        <f aca="false">+T56/M56</f>
        <v>0.305771523517382</v>
      </c>
      <c r="V56" s="14" t="n">
        <f aca="false">+T56*U56</f>
        <v>36.575723061228</v>
      </c>
    </row>
    <row r="57" customFormat="false" ht="13.8" hidden="false" customHeight="false" outlineLevel="0" collapsed="false">
      <c r="A57" s="1" t="n">
        <v>53</v>
      </c>
      <c r="B57" s="1" t="n">
        <v>2</v>
      </c>
      <c r="C57" s="4" t="s">
        <v>156</v>
      </c>
      <c r="D57" s="1" t="n">
        <v>23797453001</v>
      </c>
      <c r="E57" s="2" t="s">
        <v>159</v>
      </c>
      <c r="F57" s="1" t="n">
        <v>110172</v>
      </c>
      <c r="G57" s="1" t="n">
        <v>3156</v>
      </c>
      <c r="H57" s="13" t="n">
        <v>0.0286</v>
      </c>
      <c r="I57" s="1" t="n">
        <v>195</v>
      </c>
      <c r="J57" s="3" t="n">
        <v>2.46</v>
      </c>
      <c r="K57" s="13" t="n">
        <v>0.0618</v>
      </c>
      <c r="L57" s="1" t="n">
        <v>197</v>
      </c>
      <c r="M57" s="3" t="n">
        <v>7899.81</v>
      </c>
      <c r="N57" s="3" t="n">
        <v>478.87</v>
      </c>
      <c r="O57" s="13" t="n">
        <f aca="false">+N57/M57</f>
        <v>0.0606179135953903</v>
      </c>
      <c r="P57" s="4" t="s">
        <v>26</v>
      </c>
      <c r="Q57" s="4" t="s">
        <v>26</v>
      </c>
      <c r="R57" s="4" t="n">
        <v>5</v>
      </c>
      <c r="S57" s="13" t="n">
        <v>0.343</v>
      </c>
      <c r="T57" s="3" t="n">
        <f aca="false">+S57*(M57-J57-N57)</f>
        <v>2544.53864</v>
      </c>
      <c r="U57" s="13" t="n">
        <f aca="false">+T57/M57</f>
        <v>0.322101245472992</v>
      </c>
      <c r="V57" s="14" t="n">
        <f aca="false">+T57*U57</f>
        <v>819.599065098154</v>
      </c>
    </row>
    <row r="58" customFormat="false" ht="13.8" hidden="false" customHeight="false" outlineLevel="0" collapsed="false">
      <c r="A58" s="1" t="n">
        <v>51</v>
      </c>
      <c r="B58" s="1" t="n">
        <v>2</v>
      </c>
      <c r="C58" s="4" t="s">
        <v>43</v>
      </c>
      <c r="D58" s="1" t="n">
        <v>23096327314</v>
      </c>
      <c r="E58" s="2" t="s">
        <v>160</v>
      </c>
      <c r="F58" s="1" t="n">
        <v>1969</v>
      </c>
      <c r="G58" s="1" t="n">
        <v>11</v>
      </c>
      <c r="H58" s="13" t="n">
        <v>0.0056</v>
      </c>
      <c r="I58" s="1" t="n">
        <v>0</v>
      </c>
      <c r="J58" s="3" t="n">
        <v>0</v>
      </c>
      <c r="K58" s="13" t="n">
        <v>0</v>
      </c>
      <c r="L58" s="1" t="n">
        <v>0</v>
      </c>
      <c r="M58" s="3" t="n">
        <v>0</v>
      </c>
      <c r="N58" s="3" t="n">
        <v>23.45</v>
      </c>
      <c r="O58" s="13" t="e">
        <f aca="false">+N58/M58</f>
        <v>#DIV/0!</v>
      </c>
      <c r="P58" s="4" t="s">
        <v>37</v>
      </c>
      <c r="Q58" s="4" t="s">
        <v>47</v>
      </c>
      <c r="R58" s="4" t="n">
        <v>7</v>
      </c>
      <c r="S58" s="13" t="n">
        <v>0.35</v>
      </c>
      <c r="T58" s="3" t="n">
        <f aca="false">+S58*(M58-J58-N58)</f>
        <v>-8.2075</v>
      </c>
      <c r="U58" s="13" t="e">
        <f aca="false">+T58/M58</f>
        <v>#DIV/0!</v>
      </c>
      <c r="V58" s="14" t="e">
        <f aca="false">+T58*U58</f>
        <v>#DIV/0!</v>
      </c>
    </row>
    <row r="59" customFormat="false" ht="13.8" hidden="false" customHeight="false" outlineLevel="0" collapsed="false">
      <c r="A59" s="1" t="n">
        <v>56</v>
      </c>
      <c r="B59" s="1" t="n">
        <v>2</v>
      </c>
      <c r="C59" s="4" t="s">
        <v>161</v>
      </c>
      <c r="D59" s="1" t="n">
        <v>20699227781</v>
      </c>
      <c r="E59" s="2" t="s">
        <v>162</v>
      </c>
      <c r="F59" s="1" t="n">
        <v>62208</v>
      </c>
      <c r="G59" s="1" t="n">
        <v>1572</v>
      </c>
      <c r="H59" s="13" t="n">
        <v>0.0253</v>
      </c>
      <c r="I59" s="1" t="n">
        <v>88</v>
      </c>
      <c r="J59" s="3" t="n">
        <v>3.91</v>
      </c>
      <c r="K59" s="13" t="n">
        <v>0.056</v>
      </c>
      <c r="L59" s="1" t="n">
        <v>88</v>
      </c>
      <c r="M59" s="3" t="n">
        <v>4084.32</v>
      </c>
      <c r="N59" s="3" t="n">
        <v>344</v>
      </c>
      <c r="O59" s="13" t="n">
        <f aca="false">+N59/M59</f>
        <v>0.0842245465585459</v>
      </c>
      <c r="P59" s="4" t="s">
        <v>26</v>
      </c>
      <c r="Q59" s="4" t="s">
        <v>26</v>
      </c>
      <c r="R59" s="4" t="n">
        <v>1</v>
      </c>
      <c r="S59" s="13" t="n">
        <v>0.3</v>
      </c>
      <c r="T59" s="3" t="n">
        <f aca="false">+S59*(M59-J59-N59)</f>
        <v>1120.923</v>
      </c>
      <c r="U59" s="13" t="n">
        <f aca="false">+T59/M59</f>
        <v>0.274445440122224</v>
      </c>
      <c r="V59" s="14" t="n">
        <f aca="false">+T59*U59</f>
        <v>307.632206078123</v>
      </c>
    </row>
    <row r="60" customFormat="false" ht="13.8" hidden="false" customHeight="false" outlineLevel="0" collapsed="false">
      <c r="A60" s="1" t="n">
        <v>63</v>
      </c>
      <c r="B60" s="1" t="n">
        <v>3</v>
      </c>
      <c r="C60" s="4" t="s">
        <v>43</v>
      </c>
      <c r="D60" s="1" t="n">
        <v>22792913222</v>
      </c>
      <c r="E60" s="2" t="s">
        <v>163</v>
      </c>
      <c r="F60" s="1" t="n">
        <v>29342</v>
      </c>
      <c r="G60" s="1" t="n">
        <v>590</v>
      </c>
      <c r="H60" s="13" t="n">
        <v>0.0201</v>
      </c>
      <c r="I60" s="1" t="n">
        <v>34</v>
      </c>
      <c r="J60" s="3" t="n">
        <v>5.61</v>
      </c>
      <c r="K60" s="13" t="n">
        <v>0.0576</v>
      </c>
      <c r="L60" s="1" t="n">
        <v>37</v>
      </c>
      <c r="M60" s="3" t="n">
        <v>2389.3</v>
      </c>
      <c r="N60" s="3" t="n">
        <v>190.81</v>
      </c>
      <c r="O60" s="13" t="n">
        <f aca="false">+N60/M60</f>
        <v>0.0798602101033776</v>
      </c>
      <c r="P60" s="4" t="s">
        <v>37</v>
      </c>
      <c r="Q60" s="4" t="s">
        <v>47</v>
      </c>
      <c r="R60" s="4" t="n">
        <v>1</v>
      </c>
      <c r="S60" s="13" t="n">
        <v>0.461</v>
      </c>
      <c r="T60" s="3" t="n">
        <f aca="false">+S60*(M60-J60-N60)</f>
        <v>1010.91768</v>
      </c>
      <c r="U60" s="13" t="n">
        <f aca="false">+T60/M60</f>
        <v>0.423102029883229</v>
      </c>
      <c r="V60" s="14" t="n">
        <f aca="false">+T60*U60</f>
        <v>427.721322452845</v>
      </c>
    </row>
    <row r="61" customFormat="false" ht="13.8" hidden="false" customHeight="false" outlineLevel="0" collapsed="false">
      <c r="A61" s="1" t="n">
        <v>64</v>
      </c>
      <c r="B61" s="1" t="n">
        <v>3</v>
      </c>
      <c r="C61" s="4" t="s">
        <v>43</v>
      </c>
      <c r="D61" s="1" t="n">
        <v>21397167338</v>
      </c>
      <c r="E61" s="2" t="s">
        <v>164</v>
      </c>
      <c r="F61" s="1" t="n">
        <v>42490</v>
      </c>
      <c r="G61" s="1" t="n">
        <v>868</v>
      </c>
      <c r="H61" s="13" t="n">
        <v>0.0204</v>
      </c>
      <c r="I61" s="1" t="n">
        <v>137</v>
      </c>
      <c r="J61" s="3" t="n">
        <v>2.32</v>
      </c>
      <c r="K61" s="13" t="n">
        <v>0.1578</v>
      </c>
      <c r="L61" s="1" t="n">
        <v>142</v>
      </c>
      <c r="M61" s="3" t="n">
        <v>4359.75</v>
      </c>
      <c r="N61" s="3" t="n">
        <v>318.14</v>
      </c>
      <c r="O61" s="13" t="n">
        <f aca="false">+N61/M61</f>
        <v>0.0729720740868169</v>
      </c>
      <c r="P61" s="4" t="s">
        <v>37</v>
      </c>
      <c r="Q61" s="4" t="s">
        <v>47</v>
      </c>
      <c r="R61" s="4" t="n">
        <v>1</v>
      </c>
      <c r="S61" s="13" t="n">
        <v>0.354</v>
      </c>
      <c r="T61" s="3" t="n">
        <f aca="false">+S61*(M61-J61-N61)</f>
        <v>1429.90866</v>
      </c>
      <c r="U61" s="13" t="n">
        <f aca="false">+T61/M61</f>
        <v>0.327979507999312</v>
      </c>
      <c r="V61" s="14" t="n">
        <f aca="false">+T61*U61</f>
        <v>468.980738790755</v>
      </c>
    </row>
    <row r="62" customFormat="false" ht="13.8" hidden="false" customHeight="false" outlineLevel="0" collapsed="false">
      <c r="A62" s="1" t="n">
        <v>65</v>
      </c>
      <c r="B62" s="1" t="n">
        <v>3</v>
      </c>
      <c r="C62" s="4" t="s">
        <v>126</v>
      </c>
      <c r="D62" s="1" t="n">
        <v>23092924234</v>
      </c>
      <c r="E62" s="2" t="s">
        <v>165</v>
      </c>
      <c r="F62" s="1" t="n">
        <v>13698</v>
      </c>
      <c r="G62" s="1" t="n">
        <v>217</v>
      </c>
      <c r="H62" s="13" t="n">
        <v>0.0158</v>
      </c>
      <c r="I62" s="1" t="n">
        <v>17</v>
      </c>
      <c r="J62" s="3" t="n">
        <v>2.82</v>
      </c>
      <c r="K62" s="13" t="n">
        <v>0.0783</v>
      </c>
      <c r="L62" s="1" t="n">
        <v>17</v>
      </c>
      <c r="M62" s="3" t="n">
        <v>604.3</v>
      </c>
      <c r="N62" s="3" t="n">
        <v>48.01</v>
      </c>
      <c r="O62" s="13" t="n">
        <f aca="false">+N62/M62</f>
        <v>0.0794472943902035</v>
      </c>
      <c r="P62" s="4" t="s">
        <v>37</v>
      </c>
      <c r="Q62" s="4" t="s">
        <v>128</v>
      </c>
      <c r="R62" s="4" t="n">
        <v>1</v>
      </c>
      <c r="S62" s="13" t="n">
        <v>0.384</v>
      </c>
      <c r="T62" s="3" t="n">
        <f aca="false">+S62*(M62-J62-N62)</f>
        <v>212.53248</v>
      </c>
      <c r="U62" s="13" t="n">
        <f aca="false">+T62/M62</f>
        <v>0.351700281317227</v>
      </c>
      <c r="V62" s="14" t="n">
        <f aca="false">+T62*U62</f>
        <v>74.7477330050478</v>
      </c>
    </row>
    <row r="63" customFormat="false" ht="13.8" hidden="false" customHeight="false" outlineLevel="0" collapsed="false">
      <c r="A63" s="1" t="n">
        <v>66</v>
      </c>
      <c r="B63" s="1" t="n">
        <v>3</v>
      </c>
      <c r="C63" s="4" t="s">
        <v>33</v>
      </c>
      <c r="D63" s="1" t="n">
        <v>22792669933</v>
      </c>
      <c r="E63" s="2" t="s">
        <v>166</v>
      </c>
      <c r="F63" s="1" t="n">
        <v>24811</v>
      </c>
      <c r="G63" s="1" t="n">
        <v>474</v>
      </c>
      <c r="H63" s="13" t="n">
        <v>0.0191</v>
      </c>
      <c r="I63" s="1" t="n">
        <v>70</v>
      </c>
      <c r="J63" s="3" t="n">
        <v>1.76</v>
      </c>
      <c r="K63" s="13" t="n">
        <v>0.1477</v>
      </c>
      <c r="L63" s="1" t="n">
        <v>70</v>
      </c>
      <c r="M63" s="3" t="n">
        <v>1575.85</v>
      </c>
      <c r="N63" s="3" t="n">
        <v>123.5</v>
      </c>
      <c r="O63" s="13" t="n">
        <f aca="false">+N63/M63</f>
        <v>0.0783704032744233</v>
      </c>
      <c r="P63" s="4" t="s">
        <v>37</v>
      </c>
      <c r="Q63" s="4" t="s">
        <v>38</v>
      </c>
      <c r="R63" s="4" t="n">
        <v>1</v>
      </c>
      <c r="S63" s="13" t="n">
        <v>0.385</v>
      </c>
      <c r="T63" s="3" t="n">
        <f aca="false">+S63*(M63-J63-N63)</f>
        <v>558.47715</v>
      </c>
      <c r="U63" s="13" t="n">
        <f aca="false">+T63/M63</f>
        <v>0.354397404575309</v>
      </c>
      <c r="V63" s="14" t="n">
        <f aca="false">+T63*U63</f>
        <v>197.922852474615</v>
      </c>
    </row>
    <row r="64" customFormat="false" ht="13.8" hidden="false" customHeight="false" outlineLevel="0" collapsed="false">
      <c r="A64" s="1" t="n">
        <v>67</v>
      </c>
      <c r="B64" s="1" t="n">
        <v>3</v>
      </c>
      <c r="C64" s="4" t="s">
        <v>51</v>
      </c>
      <c r="D64" s="1" t="n">
        <v>22392890747</v>
      </c>
      <c r="E64" s="2" t="s">
        <v>167</v>
      </c>
      <c r="F64" s="1" t="n">
        <v>9677</v>
      </c>
      <c r="G64" s="1" t="n">
        <v>192</v>
      </c>
      <c r="H64" s="13" t="n">
        <v>0.0198</v>
      </c>
      <c r="I64" s="1" t="n">
        <v>8</v>
      </c>
      <c r="J64" s="3" t="n">
        <v>6.03</v>
      </c>
      <c r="K64" s="13" t="n">
        <v>0.0417</v>
      </c>
      <c r="L64" s="1" t="n">
        <v>11</v>
      </c>
      <c r="M64" s="3" t="n">
        <v>504.9</v>
      </c>
      <c r="N64" s="3" t="n">
        <v>48.21</v>
      </c>
      <c r="O64" s="13" t="n">
        <f aca="false">+N64/M64</f>
        <v>0.0954842543077837</v>
      </c>
      <c r="P64" s="4" t="s">
        <v>37</v>
      </c>
      <c r="Q64" s="4" t="s">
        <v>55</v>
      </c>
      <c r="R64" s="4" t="n">
        <v>1</v>
      </c>
      <c r="S64" s="13" t="n">
        <v>0.317</v>
      </c>
      <c r="T64" s="3" t="n">
        <f aca="false">+S64*(M64-J64-N64)</f>
        <v>142.85922</v>
      </c>
      <c r="U64" s="13" t="n">
        <f aca="false">+T64/M64</f>
        <v>0.282945573380868</v>
      </c>
      <c r="V64" s="14" t="n">
        <f aca="false">+T64*U64</f>
        <v>40.4213839156435</v>
      </c>
    </row>
    <row r="65" customFormat="false" ht="13.8" hidden="false" customHeight="false" outlineLevel="0" collapsed="false">
      <c r="A65" s="1" t="n">
        <v>84</v>
      </c>
      <c r="B65" s="1" t="n">
        <v>3</v>
      </c>
      <c r="C65" s="4" t="s">
        <v>22</v>
      </c>
      <c r="D65" s="1" t="n">
        <v>19498962091</v>
      </c>
      <c r="E65" s="2" t="s">
        <v>168</v>
      </c>
      <c r="F65" s="1" t="n">
        <v>78481</v>
      </c>
      <c r="G65" s="1" t="n">
        <v>2064</v>
      </c>
      <c r="H65" s="13" t="n">
        <v>0.0263</v>
      </c>
      <c r="I65" s="1" t="n">
        <v>126</v>
      </c>
      <c r="J65" s="3" t="n">
        <v>3.93</v>
      </c>
      <c r="K65" s="13" t="n">
        <v>0.061</v>
      </c>
      <c r="L65" s="1" t="n">
        <v>132</v>
      </c>
      <c r="M65" s="3" t="n">
        <v>7181.6</v>
      </c>
      <c r="N65" s="3" t="n">
        <v>495.01</v>
      </c>
      <c r="O65" s="13" t="n">
        <f aca="false">+N65/M65</f>
        <v>0.0689275370390999</v>
      </c>
      <c r="P65" s="4" t="s">
        <v>26</v>
      </c>
      <c r="Q65" s="4" t="s">
        <v>125</v>
      </c>
      <c r="R65" s="4" t="n">
        <v>10</v>
      </c>
      <c r="S65" s="13" t="n">
        <v>0.317</v>
      </c>
      <c r="T65" s="3" t="n">
        <f aca="false">+S65*(M65-J65-N65)</f>
        <v>2118.40322</v>
      </c>
      <c r="U65" s="13" t="n">
        <f aca="false">+T65/M65</f>
        <v>0.294976498273365</v>
      </c>
      <c r="V65" s="14" t="n">
        <f aca="false">+T65*U65</f>
        <v>624.879163766622</v>
      </c>
    </row>
    <row r="66" customFormat="false" ht="13.8" hidden="false" customHeight="false" outlineLevel="0" collapsed="false">
      <c r="A66" s="1" t="n">
        <v>68</v>
      </c>
      <c r="B66" s="1" t="n">
        <v>3</v>
      </c>
      <c r="C66" s="4" t="s">
        <v>43</v>
      </c>
      <c r="D66" s="1" t="n">
        <v>20897672485</v>
      </c>
      <c r="E66" s="2" t="s">
        <v>169</v>
      </c>
      <c r="F66" s="1" t="n">
        <v>73824</v>
      </c>
      <c r="G66" s="1" t="n">
        <v>1403</v>
      </c>
      <c r="H66" s="13" t="n">
        <v>0.019</v>
      </c>
      <c r="I66" s="1" t="n">
        <v>168</v>
      </c>
      <c r="J66" s="3" t="n">
        <v>4.5</v>
      </c>
      <c r="K66" s="13" t="n">
        <v>0.1197</v>
      </c>
      <c r="L66" s="1" t="n">
        <v>171</v>
      </c>
      <c r="M66" s="3" t="n">
        <v>8747.9</v>
      </c>
      <c r="N66" s="3" t="n">
        <v>755.52</v>
      </c>
      <c r="O66" s="13" t="n">
        <f aca="false">+N66/M66</f>
        <v>0.0863658706661027</v>
      </c>
      <c r="P66" s="4" t="s">
        <v>37</v>
      </c>
      <c r="Q66" s="4" t="s">
        <v>47</v>
      </c>
      <c r="R66" s="4" t="n">
        <v>2</v>
      </c>
      <c r="S66" s="13" t="n">
        <v>0.356</v>
      </c>
      <c r="T66" s="3" t="n">
        <f aca="false">+S66*(M66-J66-N66)</f>
        <v>2843.68528</v>
      </c>
      <c r="U66" s="13" t="n">
        <f aca="false">+T66/M66</f>
        <v>0.325070620377462</v>
      </c>
      <c r="V66" s="14" t="n">
        <f aca="false">+T66*U66</f>
        <v>924.398538127857</v>
      </c>
    </row>
    <row r="67" customFormat="false" ht="13.8" hidden="false" customHeight="false" outlineLevel="0" collapsed="false">
      <c r="A67" s="1" t="n">
        <v>69</v>
      </c>
      <c r="B67" s="1" t="n">
        <v>3</v>
      </c>
      <c r="C67" s="4" t="s">
        <v>33</v>
      </c>
      <c r="D67" s="1" t="n">
        <v>22792781219</v>
      </c>
      <c r="E67" s="2" t="s">
        <v>170</v>
      </c>
      <c r="F67" s="1" t="n">
        <v>9031</v>
      </c>
      <c r="G67" s="1" t="n">
        <v>96</v>
      </c>
      <c r="H67" s="13" t="n">
        <v>0.0106</v>
      </c>
      <c r="I67" s="1" t="n">
        <v>11</v>
      </c>
      <c r="J67" s="3" t="n">
        <v>3.06</v>
      </c>
      <c r="K67" s="13" t="n">
        <v>0.1146</v>
      </c>
      <c r="L67" s="1" t="n">
        <v>11</v>
      </c>
      <c r="M67" s="3" t="n">
        <v>430.9</v>
      </c>
      <c r="N67" s="3" t="n">
        <v>33.71</v>
      </c>
      <c r="O67" s="13" t="n">
        <f aca="false">+N67/M67</f>
        <v>0.0782316082617777</v>
      </c>
      <c r="P67" s="4" t="s">
        <v>37</v>
      </c>
      <c r="Q67" s="4" t="s">
        <v>38</v>
      </c>
      <c r="R67" s="4" t="n">
        <v>2</v>
      </c>
      <c r="S67" s="13" t="n">
        <v>0.407</v>
      </c>
      <c r="T67" s="3" t="n">
        <f aca="false">+S67*(M67-J67-N67)</f>
        <v>160.41091</v>
      </c>
      <c r="U67" s="13" t="n">
        <f aca="false">+T67/M67</f>
        <v>0.372269459271293</v>
      </c>
      <c r="V67" s="14" t="n">
        <f aca="false">+T67*U67</f>
        <v>59.716082726916</v>
      </c>
    </row>
    <row r="68" customFormat="false" ht="13.8" hidden="false" customHeight="false" outlineLevel="0" collapsed="false">
      <c r="A68" s="1" t="n">
        <v>70</v>
      </c>
      <c r="B68" s="1" t="n">
        <v>3</v>
      </c>
      <c r="C68" s="4" t="s">
        <v>33</v>
      </c>
      <c r="D68" s="1" t="n">
        <v>18697607826</v>
      </c>
      <c r="E68" s="2" t="s">
        <v>171</v>
      </c>
      <c r="F68" s="1" t="n">
        <v>4515</v>
      </c>
      <c r="G68" s="1" t="n">
        <v>43</v>
      </c>
      <c r="H68" s="13" t="n">
        <v>0.0095</v>
      </c>
      <c r="I68" s="1" t="n">
        <v>3</v>
      </c>
      <c r="J68" s="3" t="n">
        <v>4.88</v>
      </c>
      <c r="K68" s="13" t="n">
        <v>0.0698</v>
      </c>
      <c r="L68" s="1" t="n">
        <v>3</v>
      </c>
      <c r="M68" s="3" t="n">
        <v>179.7</v>
      </c>
      <c r="N68" s="3" t="n">
        <v>14.64</v>
      </c>
      <c r="O68" s="13" t="n">
        <f aca="false">+N68/M68</f>
        <v>0.0814691151919867</v>
      </c>
      <c r="P68" s="4" t="s">
        <v>37</v>
      </c>
      <c r="Q68" s="4" t="s">
        <v>38</v>
      </c>
      <c r="R68" s="4" t="n">
        <v>2</v>
      </c>
      <c r="S68" s="13" t="n">
        <v>0.407</v>
      </c>
      <c r="T68" s="3" t="n">
        <f aca="false">+S68*(M68-J68-N68)</f>
        <v>65.19326</v>
      </c>
      <c r="U68" s="13" t="n">
        <f aca="false">+T68/M68</f>
        <v>0.362789426822482</v>
      </c>
      <c r="V68" s="14" t="n">
        <f aca="false">+T68*U68</f>
        <v>23.651425428089</v>
      </c>
    </row>
    <row r="69" customFormat="false" ht="13.8" hidden="false" customHeight="false" outlineLevel="0" collapsed="false">
      <c r="A69" s="1" t="n">
        <v>71</v>
      </c>
      <c r="B69" s="1" t="n">
        <v>3</v>
      </c>
      <c r="C69" s="4" t="s">
        <v>33</v>
      </c>
      <c r="D69" s="1" t="n">
        <v>23792775950</v>
      </c>
      <c r="E69" s="2" t="s">
        <v>172</v>
      </c>
      <c r="F69" s="1" t="n">
        <v>75075</v>
      </c>
      <c r="G69" s="1" t="n">
        <v>1192</v>
      </c>
      <c r="H69" s="13" t="n">
        <v>0.0159</v>
      </c>
      <c r="I69" s="1" t="n">
        <v>120</v>
      </c>
      <c r="J69" s="3" t="n">
        <v>8.43</v>
      </c>
      <c r="K69" s="13" t="n">
        <v>0.1007</v>
      </c>
      <c r="L69" s="1" t="n">
        <v>123</v>
      </c>
      <c r="M69" s="3" t="n">
        <v>7176.67</v>
      </c>
      <c r="N69" s="3" t="n">
        <v>1011.37</v>
      </c>
      <c r="O69" s="13" t="n">
        <f aca="false">+N69/M69</f>
        <v>0.140924690699168</v>
      </c>
      <c r="P69" s="4" t="s">
        <v>37</v>
      </c>
      <c r="Q69" s="4" t="s">
        <v>38</v>
      </c>
      <c r="R69" s="4" t="n">
        <v>4</v>
      </c>
      <c r="S69" s="13" t="n">
        <v>0.376</v>
      </c>
      <c r="T69" s="3" t="n">
        <f aca="false">+S69*(M69-J69-N69)</f>
        <v>2314.98312</v>
      </c>
      <c r="U69" s="13" t="n">
        <f aca="false">+T69/M69</f>
        <v>0.322570651848281</v>
      </c>
      <c r="V69" s="14" t="n">
        <f aca="false">+T69*U69</f>
        <v>746.745614036166</v>
      </c>
    </row>
    <row r="70" customFormat="false" ht="13.8" hidden="false" customHeight="false" outlineLevel="0" collapsed="false">
      <c r="A70" s="1" t="n">
        <v>75</v>
      </c>
      <c r="B70" s="1" t="n">
        <v>3</v>
      </c>
      <c r="C70" s="4" t="s">
        <v>43</v>
      </c>
      <c r="D70" s="1" t="n">
        <v>22397598129</v>
      </c>
      <c r="E70" s="2" t="s">
        <v>173</v>
      </c>
      <c r="F70" s="1" t="n">
        <v>9072</v>
      </c>
      <c r="G70" s="1" t="n">
        <v>150</v>
      </c>
      <c r="H70" s="13" t="n">
        <v>0.0165</v>
      </c>
      <c r="I70" s="1" t="n">
        <v>10</v>
      </c>
      <c r="J70" s="3" t="n">
        <v>6.36</v>
      </c>
      <c r="K70" s="13" t="n">
        <v>0.0667</v>
      </c>
      <c r="L70" s="1" t="n">
        <v>10</v>
      </c>
      <c r="M70" s="3" t="n">
        <v>449</v>
      </c>
      <c r="N70" s="3" t="n">
        <v>63.62</v>
      </c>
      <c r="O70" s="13" t="n">
        <f aca="false">+N70/M70</f>
        <v>0.141692650334076</v>
      </c>
      <c r="P70" s="4" t="s">
        <v>37</v>
      </c>
      <c r="Q70" s="4" t="s">
        <v>47</v>
      </c>
      <c r="R70" s="4" t="n">
        <v>1</v>
      </c>
      <c r="S70" s="13" t="n">
        <v>0.354</v>
      </c>
      <c r="T70" s="3" t="n">
        <f aca="false">+S70*(M70-J70-N70)</f>
        <v>134.17308</v>
      </c>
      <c r="U70" s="13" t="n">
        <f aca="false">+T70/M70</f>
        <v>0.298826458797327</v>
      </c>
      <c r="V70" s="14" t="n">
        <f aca="false">+T70*U70</f>
        <v>40.0944663623305</v>
      </c>
    </row>
    <row r="71" customFormat="false" ht="13.8" hidden="false" customHeight="false" outlineLevel="0" collapsed="false">
      <c r="A71" s="1" t="n">
        <v>73</v>
      </c>
      <c r="B71" s="1" t="n">
        <v>3</v>
      </c>
      <c r="C71" s="4" t="s">
        <v>51</v>
      </c>
      <c r="D71" s="1" t="n">
        <v>22392895533</v>
      </c>
      <c r="E71" s="2" t="s">
        <v>174</v>
      </c>
      <c r="F71" s="1" t="n">
        <v>13419</v>
      </c>
      <c r="G71" s="1" t="n">
        <v>177</v>
      </c>
      <c r="H71" s="13" t="n">
        <v>0.0132</v>
      </c>
      <c r="I71" s="1" t="n">
        <v>18</v>
      </c>
      <c r="J71" s="3" t="n">
        <v>5.1</v>
      </c>
      <c r="K71" s="13" t="n">
        <v>0.1017</v>
      </c>
      <c r="L71" s="1" t="n">
        <v>21</v>
      </c>
      <c r="M71" s="3" t="n">
        <v>923.9</v>
      </c>
      <c r="N71" s="3" t="n">
        <v>91.72</v>
      </c>
      <c r="O71" s="13" t="n">
        <f aca="false">+N71/M71</f>
        <v>0.0992748132914818</v>
      </c>
      <c r="P71" s="4" t="s">
        <v>37</v>
      </c>
      <c r="Q71" s="4" t="s">
        <v>55</v>
      </c>
      <c r="R71" s="4" t="n">
        <v>1</v>
      </c>
      <c r="S71" s="13" t="n">
        <v>0.317</v>
      </c>
      <c r="T71" s="3" t="n">
        <f aca="false">+S71*(M71-J71-N71)</f>
        <v>262.18436</v>
      </c>
      <c r="U71" s="13" t="n">
        <f aca="false">+T71/M71</f>
        <v>0.283780019482628</v>
      </c>
      <c r="V71" s="14" t="n">
        <f aca="false">+T71*U71</f>
        <v>74.4026827888403</v>
      </c>
    </row>
    <row r="72" customFormat="false" ht="13.8" hidden="false" customHeight="false" outlineLevel="0" collapsed="false">
      <c r="A72" s="1" t="n">
        <v>76</v>
      </c>
      <c r="B72" s="1" t="n">
        <v>3</v>
      </c>
      <c r="C72" s="4" t="s">
        <v>175</v>
      </c>
      <c r="D72" s="1" t="n">
        <v>22692878658</v>
      </c>
      <c r="E72" s="2" t="s">
        <v>176</v>
      </c>
      <c r="F72" s="1" t="n">
        <v>6271</v>
      </c>
      <c r="G72" s="1" t="n">
        <v>179</v>
      </c>
      <c r="H72" s="13" t="n">
        <v>0.0285</v>
      </c>
      <c r="I72" s="1" t="n">
        <v>0</v>
      </c>
      <c r="J72" s="3" t="n">
        <v>0</v>
      </c>
      <c r="K72" s="13" t="n">
        <v>0</v>
      </c>
      <c r="L72" s="1" t="n">
        <v>0</v>
      </c>
      <c r="M72" s="3" t="n">
        <v>0</v>
      </c>
      <c r="N72" s="3" t="n">
        <v>15.6</v>
      </c>
      <c r="O72" s="13" t="e">
        <f aca="false">+N72/M72</f>
        <v>#DIV/0!</v>
      </c>
      <c r="P72" s="4" t="s">
        <v>37</v>
      </c>
      <c r="Q72" s="4" t="s">
        <v>177</v>
      </c>
      <c r="R72" s="4" t="n">
        <v>1</v>
      </c>
      <c r="S72" s="13" t="n">
        <v>0.342</v>
      </c>
      <c r="T72" s="3" t="n">
        <f aca="false">+S72*(M72-J72-N72)</f>
        <v>-5.3352</v>
      </c>
      <c r="U72" s="13" t="e">
        <f aca="false">+T72/M72</f>
        <v>#DIV/0!</v>
      </c>
      <c r="V72" s="14" t="e">
        <f aca="false">+T72*U72</f>
        <v>#DIV/0!</v>
      </c>
    </row>
    <row r="73" customFormat="false" ht="13.8" hidden="false" customHeight="false" outlineLevel="0" collapsed="false">
      <c r="A73" s="1" t="n">
        <v>77</v>
      </c>
      <c r="B73" s="1" t="n">
        <v>3</v>
      </c>
      <c r="C73" s="4" t="s">
        <v>33</v>
      </c>
      <c r="D73" s="1" t="n">
        <v>23997480409</v>
      </c>
      <c r="E73" s="2" t="s">
        <v>178</v>
      </c>
      <c r="F73" s="1" t="n">
        <v>18855</v>
      </c>
      <c r="G73" s="1" t="n">
        <v>264</v>
      </c>
      <c r="H73" s="13" t="n">
        <v>0.014</v>
      </c>
      <c r="I73" s="1" t="n">
        <v>42</v>
      </c>
      <c r="J73" s="3" t="n">
        <v>2.89</v>
      </c>
      <c r="K73" s="13" t="n">
        <v>0.1591</v>
      </c>
      <c r="L73" s="1" t="n">
        <v>42</v>
      </c>
      <c r="M73" s="3" t="n">
        <v>1520.09</v>
      </c>
      <c r="N73" s="3" t="n">
        <v>121.37</v>
      </c>
      <c r="O73" s="13" t="n">
        <f aca="false">+N73/M73</f>
        <v>0.0798439566078324</v>
      </c>
      <c r="P73" s="4" t="s">
        <v>37</v>
      </c>
      <c r="Q73" s="4" t="s">
        <v>38</v>
      </c>
      <c r="R73" s="4" t="n">
        <v>1</v>
      </c>
      <c r="S73" s="13" t="n">
        <v>0.385</v>
      </c>
      <c r="T73" s="3" t="n">
        <f aca="false">+S73*(M73-J73-N73)</f>
        <v>537.39455</v>
      </c>
      <c r="U73" s="13" t="n">
        <f aca="false">+T73/M73</f>
        <v>0.353528113466966</v>
      </c>
      <c r="V73" s="14" t="n">
        <f aca="false">+T73*U73</f>
        <v>189.984081448929</v>
      </c>
    </row>
    <row r="74" customFormat="false" ht="13.8" hidden="false" customHeight="false" outlineLevel="0" collapsed="false">
      <c r="A74" s="1" t="n">
        <v>78</v>
      </c>
      <c r="B74" s="1" t="n">
        <v>3</v>
      </c>
      <c r="C74" s="4" t="s">
        <v>129</v>
      </c>
      <c r="D74" s="1" t="n">
        <v>22197175859</v>
      </c>
      <c r="E74" s="2" t="s">
        <v>179</v>
      </c>
      <c r="F74" s="1" t="n">
        <v>12694</v>
      </c>
      <c r="G74" s="1" t="n">
        <v>215</v>
      </c>
      <c r="H74" s="13" t="n">
        <v>0.0169</v>
      </c>
      <c r="I74" s="1" t="n">
        <v>28</v>
      </c>
      <c r="J74" s="3" t="n">
        <v>3.19</v>
      </c>
      <c r="K74" s="13" t="n">
        <v>0.1302</v>
      </c>
      <c r="L74" s="1" t="n">
        <v>29</v>
      </c>
      <c r="M74" s="3" t="n">
        <v>742.9</v>
      </c>
      <c r="N74" s="3" t="n">
        <v>89.35</v>
      </c>
      <c r="O74" s="13" t="n">
        <f aca="false">+N74/M74</f>
        <v>0.120271907389958</v>
      </c>
      <c r="P74" s="4" t="s">
        <v>37</v>
      </c>
      <c r="Q74" s="4" t="s">
        <v>131</v>
      </c>
      <c r="R74" s="4" t="n">
        <v>1</v>
      </c>
      <c r="S74" s="13" t="n">
        <v>0.385</v>
      </c>
      <c r="T74" s="3" t="n">
        <f aca="false">+S74*(M74-J74-N74)</f>
        <v>250.3886</v>
      </c>
      <c r="U74" s="13" t="n">
        <f aca="false">+T74/M74</f>
        <v>0.337042132184682</v>
      </c>
      <c r="V74" s="14" t="n">
        <f aca="false">+T74*U74</f>
        <v>84.3915076187374</v>
      </c>
    </row>
    <row r="75" customFormat="false" ht="13.8" hidden="false" customHeight="false" outlineLevel="0" collapsed="false">
      <c r="A75" s="1" t="n">
        <v>72</v>
      </c>
      <c r="B75" s="1" t="n">
        <v>3</v>
      </c>
      <c r="C75" s="4" t="s">
        <v>129</v>
      </c>
      <c r="D75" s="1" t="n">
        <v>22198870488</v>
      </c>
      <c r="E75" s="2" t="s">
        <v>180</v>
      </c>
      <c r="F75" s="1" t="n">
        <v>5198</v>
      </c>
      <c r="G75" s="1" t="n">
        <v>88</v>
      </c>
      <c r="H75" s="13" t="n">
        <v>0.0169</v>
      </c>
      <c r="I75" s="1" t="n">
        <v>9</v>
      </c>
      <c r="J75" s="3" t="n">
        <v>3.31</v>
      </c>
      <c r="K75" s="13" t="n">
        <v>0.1023</v>
      </c>
      <c r="L75" s="1" t="n">
        <v>9</v>
      </c>
      <c r="M75" s="3" t="n">
        <v>341.1</v>
      </c>
      <c r="N75" s="3" t="n">
        <v>29.75</v>
      </c>
      <c r="O75" s="13" t="n">
        <f aca="false">+N75/M75</f>
        <v>0.0872178246848432</v>
      </c>
      <c r="P75" s="4" t="s">
        <v>37</v>
      </c>
      <c r="Q75" s="4" t="s">
        <v>131</v>
      </c>
      <c r="R75" s="4" t="n">
        <v>1</v>
      </c>
      <c r="S75" s="13" t="n">
        <v>0.3</v>
      </c>
      <c r="T75" s="3" t="n">
        <f aca="false">+S75*(M75-J75-N75)</f>
        <v>92.412</v>
      </c>
      <c r="U75" s="13" t="n">
        <f aca="false">+T75/M75</f>
        <v>0.270923482849604</v>
      </c>
      <c r="V75" s="14" t="n">
        <f aca="false">+T75*U75</f>
        <v>25.0365808970976</v>
      </c>
    </row>
    <row r="76" customFormat="false" ht="13.8" hidden="false" customHeight="false" outlineLevel="0" collapsed="false">
      <c r="A76" s="1" t="n">
        <v>74</v>
      </c>
      <c r="B76" s="1" t="n">
        <v>3</v>
      </c>
      <c r="C76" s="4" t="s">
        <v>181</v>
      </c>
      <c r="D76" s="1" t="n">
        <v>22893234695</v>
      </c>
      <c r="E76" s="2" t="s">
        <v>182</v>
      </c>
      <c r="F76" s="1" t="n">
        <v>48116</v>
      </c>
      <c r="G76" s="1" t="n">
        <v>962</v>
      </c>
      <c r="H76" s="13" t="n">
        <v>0.02</v>
      </c>
      <c r="I76" s="1" t="n">
        <v>90</v>
      </c>
      <c r="J76" s="3" t="n">
        <v>3.21</v>
      </c>
      <c r="K76" s="13" t="n">
        <v>0.0936</v>
      </c>
      <c r="L76" s="1" t="n">
        <v>93</v>
      </c>
      <c r="M76" s="3" t="n">
        <v>3071.7</v>
      </c>
      <c r="N76" s="3" t="n">
        <v>288.57</v>
      </c>
      <c r="O76" s="13" t="n">
        <f aca="false">+N76/M76</f>
        <v>0.0939447211641762</v>
      </c>
      <c r="P76" s="4" t="s">
        <v>37</v>
      </c>
      <c r="Q76" s="4" t="s">
        <v>183</v>
      </c>
      <c r="R76" s="4" t="n">
        <v>1</v>
      </c>
      <c r="S76" s="13" t="n">
        <v>0.385</v>
      </c>
      <c r="T76" s="3" t="n">
        <f aca="false">+S76*(M76-J76-N76)</f>
        <v>1070.2692</v>
      </c>
      <c r="U76" s="13" t="n">
        <f aca="false">+T76/M76</f>
        <v>0.348428948139467</v>
      </c>
      <c r="V76" s="14" t="n">
        <f aca="false">+T76*U76</f>
        <v>372.912771582069</v>
      </c>
    </row>
    <row r="77" customFormat="false" ht="13.8" hidden="false" customHeight="false" outlineLevel="0" collapsed="false">
      <c r="A77" s="1" t="n">
        <v>80</v>
      </c>
      <c r="B77" s="1" t="n">
        <v>3</v>
      </c>
      <c r="C77" s="4" t="s">
        <v>43</v>
      </c>
      <c r="D77" s="1" t="n">
        <v>23192993710</v>
      </c>
      <c r="E77" s="2" t="s">
        <v>184</v>
      </c>
      <c r="F77" s="1" t="n">
        <v>11495</v>
      </c>
      <c r="G77" s="1" t="n">
        <v>151</v>
      </c>
      <c r="H77" s="13" t="n">
        <v>0.0131</v>
      </c>
      <c r="I77" s="1" t="n">
        <v>11</v>
      </c>
      <c r="J77" s="3" t="n">
        <v>8.46</v>
      </c>
      <c r="K77" s="13" t="n">
        <v>0.0728</v>
      </c>
      <c r="L77" s="1" t="n">
        <v>12</v>
      </c>
      <c r="M77" s="3" t="n">
        <v>778.8</v>
      </c>
      <c r="N77" s="3" t="n">
        <v>93.04</v>
      </c>
      <c r="O77" s="13" t="n">
        <f aca="false">+N77/M77</f>
        <v>0.119465844889574</v>
      </c>
      <c r="P77" s="4" t="s">
        <v>37</v>
      </c>
      <c r="Q77" s="4" t="s">
        <v>47</v>
      </c>
      <c r="R77" s="4" t="n">
        <v>2</v>
      </c>
      <c r="S77" s="13" t="n">
        <v>0.356</v>
      </c>
      <c r="T77" s="3" t="n">
        <f aca="false">+S77*(M77-J77-N77)</f>
        <v>241.1188</v>
      </c>
      <c r="U77" s="13" t="n">
        <f aca="false">+T77/M77</f>
        <v>0.309602978941962</v>
      </c>
      <c r="V77" s="14" t="n">
        <f aca="false">+T77*U77</f>
        <v>74.6510987589111</v>
      </c>
    </row>
    <row r="78" customFormat="false" ht="13.8" hidden="false" customHeight="false" outlineLevel="0" collapsed="false">
      <c r="A78" s="1" t="n">
        <v>81</v>
      </c>
      <c r="B78" s="1" t="n">
        <v>3</v>
      </c>
      <c r="C78" s="4" t="s">
        <v>33</v>
      </c>
      <c r="D78" s="1" t="n">
        <v>19897609772</v>
      </c>
      <c r="E78" s="2" t="s">
        <v>185</v>
      </c>
      <c r="F78" s="1" t="n">
        <v>2098</v>
      </c>
      <c r="G78" s="1" t="n">
        <v>14</v>
      </c>
      <c r="H78" s="13" t="n">
        <v>0.0067</v>
      </c>
      <c r="I78" s="1" t="n">
        <v>0</v>
      </c>
      <c r="J78" s="3" t="n">
        <v>0</v>
      </c>
      <c r="K78" s="13" t="n">
        <v>0</v>
      </c>
      <c r="L78" s="1" t="n">
        <v>0</v>
      </c>
      <c r="M78" s="3" t="n">
        <v>0</v>
      </c>
      <c r="N78" s="3" t="n">
        <v>4.55</v>
      </c>
      <c r="O78" s="13" t="e">
        <f aca="false">+N78/M78</f>
        <v>#DIV/0!</v>
      </c>
      <c r="P78" s="4" t="s">
        <v>37</v>
      </c>
      <c r="Q78" s="4" t="s">
        <v>38</v>
      </c>
      <c r="R78" s="4" t="n">
        <v>2</v>
      </c>
      <c r="S78" s="13" t="n">
        <v>0.407</v>
      </c>
      <c r="T78" s="3" t="n">
        <f aca="false">+S78*(M78-J78-N78)</f>
        <v>-1.85185</v>
      </c>
      <c r="U78" s="13" t="e">
        <f aca="false">+T78/M78</f>
        <v>#DIV/0!</v>
      </c>
      <c r="V78" s="14" t="e">
        <f aca="false">+T78*U78</f>
        <v>#DIV/0!</v>
      </c>
    </row>
    <row r="79" customFormat="false" ht="13.8" hidden="false" customHeight="false" outlineLevel="0" collapsed="false">
      <c r="A79" s="1" t="n">
        <v>82</v>
      </c>
      <c r="B79" s="1" t="n">
        <v>3</v>
      </c>
      <c r="C79" s="4" t="s">
        <v>129</v>
      </c>
      <c r="D79" s="1" t="n">
        <v>22198866258</v>
      </c>
      <c r="E79" s="2" t="s">
        <v>186</v>
      </c>
      <c r="F79" s="1" t="n">
        <v>20876</v>
      </c>
      <c r="G79" s="1" t="n">
        <v>273</v>
      </c>
      <c r="H79" s="13" t="n">
        <v>0.0131</v>
      </c>
      <c r="I79" s="1" t="n">
        <v>10</v>
      </c>
      <c r="J79" s="3" t="n">
        <v>21.53</v>
      </c>
      <c r="K79" s="13" t="n">
        <v>0.0366</v>
      </c>
      <c r="L79" s="1" t="n">
        <v>10</v>
      </c>
      <c r="M79" s="3" t="n">
        <v>429</v>
      </c>
      <c r="N79" s="3" t="n">
        <v>215.29</v>
      </c>
      <c r="O79" s="13" t="n">
        <f aca="false">+N79/M79</f>
        <v>0.501841491841492</v>
      </c>
      <c r="P79" s="4" t="s">
        <v>37</v>
      </c>
      <c r="Q79" s="4" t="s">
        <v>131</v>
      </c>
      <c r="R79" s="4" t="n">
        <v>2</v>
      </c>
      <c r="S79" s="13" t="n">
        <v>0.177</v>
      </c>
      <c r="T79" s="3" t="n">
        <f aca="false">+S79*(M79-J79-N79)</f>
        <v>34.01586</v>
      </c>
      <c r="U79" s="13" t="n">
        <f aca="false">+T79/M79</f>
        <v>0.079291048951049</v>
      </c>
      <c r="V79" s="14" t="n">
        <f aca="false">+T79*U79</f>
        <v>2.69715322037203</v>
      </c>
    </row>
    <row r="80" customFormat="false" ht="13.8" hidden="false" customHeight="false" outlineLevel="0" collapsed="false">
      <c r="A80" s="1" t="n">
        <v>85</v>
      </c>
      <c r="B80" s="1" t="n">
        <v>3</v>
      </c>
      <c r="C80" s="4" t="s">
        <v>187</v>
      </c>
      <c r="D80" s="1" t="n">
        <v>23697473463</v>
      </c>
      <c r="E80" s="2" t="s">
        <v>188</v>
      </c>
      <c r="F80" s="1" t="n">
        <v>91539</v>
      </c>
      <c r="G80" s="1" t="n">
        <v>1969</v>
      </c>
      <c r="H80" s="13" t="n">
        <v>0.0215</v>
      </c>
      <c r="I80" s="1" t="n">
        <v>75</v>
      </c>
      <c r="J80" s="3" t="n">
        <v>10.36</v>
      </c>
      <c r="K80" s="13" t="n">
        <v>0.0381</v>
      </c>
      <c r="L80" s="1" t="n">
        <v>87</v>
      </c>
      <c r="M80" s="3" t="n">
        <v>10862.79</v>
      </c>
      <c r="N80" s="3" t="n">
        <v>776.96</v>
      </c>
      <c r="O80" s="13" t="n">
        <f aca="false">+N80/M80</f>
        <v>0.0715249029024772</v>
      </c>
      <c r="P80" s="4" t="s">
        <v>26</v>
      </c>
      <c r="Q80" s="4" t="s">
        <v>125</v>
      </c>
      <c r="R80" s="4" t="n">
        <v>30</v>
      </c>
      <c r="S80" s="13" t="n">
        <v>0.291</v>
      </c>
      <c r="T80" s="3" t="n">
        <f aca="false">+S80*(M80-J80-N80)</f>
        <v>2931.96177</v>
      </c>
      <c r="U80" s="13" t="n">
        <f aca="false">+T80/M80</f>
        <v>0.269908722344812</v>
      </c>
      <c r="V80" s="14" t="n">
        <f aca="false">+T80*U80</f>
        <v>791.362055304534</v>
      </c>
    </row>
    <row r="81" customFormat="false" ht="13.8" hidden="false" customHeight="false" outlineLevel="0" collapsed="false">
      <c r="A81" s="1" t="n">
        <v>83</v>
      </c>
      <c r="B81" s="1" t="n">
        <v>3</v>
      </c>
      <c r="C81" s="4" t="s">
        <v>43</v>
      </c>
      <c r="D81" s="1" t="n">
        <v>23597490298</v>
      </c>
      <c r="E81" s="2" t="s">
        <v>189</v>
      </c>
      <c r="F81" s="1" t="n">
        <v>5337</v>
      </c>
      <c r="G81" s="1" t="n">
        <v>85</v>
      </c>
      <c r="H81" s="13" t="n">
        <v>0.0159</v>
      </c>
      <c r="I81" s="1" t="n">
        <v>6</v>
      </c>
      <c r="J81" s="3" t="n">
        <v>9.39</v>
      </c>
      <c r="K81" s="13" t="n">
        <v>0.0706</v>
      </c>
      <c r="L81" s="1" t="n">
        <v>8</v>
      </c>
      <c r="M81" s="3" t="n">
        <v>564.2</v>
      </c>
      <c r="N81" s="3" t="n">
        <v>56.34</v>
      </c>
      <c r="O81" s="13" t="n">
        <f aca="false">+N81/M81</f>
        <v>0.0998582063098192</v>
      </c>
      <c r="P81" s="4" t="s">
        <v>37</v>
      </c>
      <c r="Q81" s="4" t="s">
        <v>47</v>
      </c>
      <c r="R81" s="4" t="n">
        <v>4</v>
      </c>
      <c r="S81" s="13" t="n">
        <v>0.373</v>
      </c>
      <c r="T81" s="3" t="n">
        <f aca="false">+S81*(M81-J81-N81)</f>
        <v>185.92931</v>
      </c>
      <c r="U81" s="13" t="n">
        <f aca="false">+T81/M81</f>
        <v>0.329545037220844</v>
      </c>
      <c r="V81" s="14" t="n">
        <f aca="false">+T81*U81</f>
        <v>61.2720813843958</v>
      </c>
    </row>
    <row r="82" customFormat="false" ht="13.8" hidden="false" customHeight="false" outlineLevel="0" collapsed="false">
      <c r="A82" s="1" t="n">
        <v>86</v>
      </c>
      <c r="B82" s="1" t="n">
        <v>3</v>
      </c>
      <c r="C82" s="4" t="s">
        <v>190</v>
      </c>
      <c r="D82" s="1" t="n">
        <v>21597667287</v>
      </c>
      <c r="E82" s="2" t="s">
        <v>191</v>
      </c>
      <c r="F82" s="1" t="n">
        <v>16441</v>
      </c>
      <c r="G82" s="1" t="n">
        <v>209</v>
      </c>
      <c r="H82" s="13" t="n">
        <v>0.0127</v>
      </c>
      <c r="I82" s="1" t="n">
        <v>5</v>
      </c>
      <c r="J82" s="3" t="n">
        <v>24.49</v>
      </c>
      <c r="K82" s="13" t="n">
        <v>0.0239</v>
      </c>
      <c r="L82" s="1" t="n">
        <v>6</v>
      </c>
      <c r="M82" s="3" t="n">
        <v>1333.9</v>
      </c>
      <c r="N82" s="3" t="n">
        <v>122.44</v>
      </c>
      <c r="O82" s="13" t="n">
        <f aca="false">+N82/M82</f>
        <v>0.0917909888297474</v>
      </c>
      <c r="P82" s="4" t="s">
        <v>26</v>
      </c>
      <c r="Q82" s="4" t="s">
        <v>125</v>
      </c>
      <c r="R82" s="4" t="n">
        <v>50</v>
      </c>
      <c r="S82" s="13" t="n">
        <v>0.361</v>
      </c>
      <c r="T82" s="3" t="n">
        <f aca="false">+S82*(M82-J82-N82)</f>
        <v>428.49617</v>
      </c>
      <c r="U82" s="13" t="n">
        <f aca="false">+T82/M82</f>
        <v>0.321235602368993</v>
      </c>
      <c r="V82" s="14" t="n">
        <f aca="false">+T82*U82</f>
        <v>137.648225282757</v>
      </c>
    </row>
    <row r="83" customFormat="false" ht="13.8" hidden="false" customHeight="false" outlineLevel="0" collapsed="false">
      <c r="A83" s="1" t="n">
        <v>87</v>
      </c>
      <c r="B83" s="1" t="n">
        <v>3</v>
      </c>
      <c r="C83" s="4" t="s">
        <v>161</v>
      </c>
      <c r="D83" s="1" t="n">
        <v>23592989780</v>
      </c>
      <c r="E83" s="2" t="s">
        <v>192</v>
      </c>
      <c r="F83" s="1" t="n">
        <v>111409</v>
      </c>
      <c r="G83" s="1" t="n">
        <v>2782</v>
      </c>
      <c r="H83" s="13" t="n">
        <v>0.025</v>
      </c>
      <c r="I83" s="1" t="n">
        <v>131</v>
      </c>
      <c r="J83" s="3" t="n">
        <v>5.88</v>
      </c>
      <c r="K83" s="13" t="n">
        <v>0.0471</v>
      </c>
      <c r="L83" s="1" t="n">
        <v>141</v>
      </c>
      <c r="M83" s="3" t="n">
        <v>9227.07</v>
      </c>
      <c r="N83" s="3" t="n">
        <v>770.6</v>
      </c>
      <c r="O83" s="13" t="n">
        <f aca="false">+N83/M83</f>
        <v>0.0835151353571611</v>
      </c>
      <c r="P83" s="4" t="s">
        <v>26</v>
      </c>
      <c r="Q83" s="4" t="s">
        <v>125</v>
      </c>
      <c r="R83" s="4" t="n">
        <v>1</v>
      </c>
      <c r="S83" s="13" t="n">
        <v>0.317</v>
      </c>
      <c r="T83" s="3" t="n">
        <f aca="false">+S83*(M83-J83-N83)</f>
        <v>2678.83703</v>
      </c>
      <c r="U83" s="13" t="n">
        <f aca="false">+T83/M83</f>
        <v>0.29032369213629</v>
      </c>
      <c r="V83" s="14" t="n">
        <f aca="false">+T83*U83</f>
        <v>777.729857181014</v>
      </c>
    </row>
    <row r="84" customFormat="false" ht="13.8" hidden="false" customHeight="false" outlineLevel="0" collapsed="false">
      <c r="A84" s="1" t="n">
        <v>88</v>
      </c>
      <c r="B84" s="1" t="n">
        <v>4</v>
      </c>
      <c r="C84" s="4" t="s">
        <v>181</v>
      </c>
      <c r="D84" s="1" t="n">
        <v>58257519133</v>
      </c>
      <c r="E84" s="2" t="s">
        <v>193</v>
      </c>
      <c r="F84" s="1" t="n">
        <v>5201</v>
      </c>
      <c r="G84" s="1" t="n">
        <v>94</v>
      </c>
      <c r="H84" s="13" t="n">
        <v>0.0181</v>
      </c>
      <c r="I84" s="1" t="n">
        <v>6</v>
      </c>
      <c r="J84" s="3" t="n">
        <v>3.71</v>
      </c>
      <c r="K84" s="13" t="n">
        <v>0.0638</v>
      </c>
      <c r="L84" s="1" t="n">
        <v>6</v>
      </c>
      <c r="M84" s="3" t="n">
        <v>199.4</v>
      </c>
      <c r="N84" s="3" t="n">
        <v>22.23</v>
      </c>
      <c r="O84" s="13" t="n">
        <f aca="false">+N84/M84</f>
        <v>0.11148445336008</v>
      </c>
      <c r="P84" s="4" t="s">
        <v>37</v>
      </c>
      <c r="Q84" s="4" t="s">
        <v>183</v>
      </c>
      <c r="R84" s="4" t="n">
        <v>1</v>
      </c>
      <c r="S84" s="13" t="n">
        <v>0.35</v>
      </c>
      <c r="T84" s="3" t="n">
        <f aca="false">+S84*(M84-J84-N84)</f>
        <v>60.711</v>
      </c>
      <c r="U84" s="13" t="n">
        <f aca="false">+T84/M84</f>
        <v>0.304468405215647</v>
      </c>
      <c r="V84" s="14" t="n">
        <f aca="false">+T84*U84</f>
        <v>18.4845813490471</v>
      </c>
    </row>
    <row r="85" customFormat="false" ht="13.8" hidden="false" customHeight="false" outlineLevel="0" collapsed="false">
      <c r="A85" s="1" t="n">
        <v>89</v>
      </c>
      <c r="B85" s="1" t="n">
        <v>4</v>
      </c>
      <c r="C85" s="4" t="s">
        <v>129</v>
      </c>
      <c r="D85" s="1" t="n">
        <v>58262132060</v>
      </c>
      <c r="E85" s="2" t="s">
        <v>194</v>
      </c>
      <c r="F85" s="1" t="n">
        <v>58</v>
      </c>
      <c r="G85" s="1" t="n">
        <v>0</v>
      </c>
      <c r="H85" s="13" t="n">
        <v>0</v>
      </c>
      <c r="I85" s="1" t="n">
        <v>0</v>
      </c>
      <c r="J85" s="3" t="n">
        <v>0</v>
      </c>
      <c r="K85" s="13" t="n">
        <v>0</v>
      </c>
      <c r="L85" s="1" t="n">
        <v>0</v>
      </c>
      <c r="M85" s="3" t="n">
        <v>0</v>
      </c>
      <c r="N85" s="3" t="n">
        <v>0</v>
      </c>
      <c r="O85" s="13" t="e">
        <f aca="false">+N85/M85</f>
        <v>#DIV/0!</v>
      </c>
      <c r="P85" s="4" t="s">
        <v>37</v>
      </c>
      <c r="Q85" s="4" t="s">
        <v>131</v>
      </c>
      <c r="R85" s="4" t="n">
        <v>2</v>
      </c>
      <c r="S85" s="13" t="n">
        <v>0.177</v>
      </c>
      <c r="T85" s="3" t="n">
        <f aca="false">+S85*(M85-J85-N85)</f>
        <v>0</v>
      </c>
      <c r="U85" s="13" t="e">
        <f aca="false">+T85/M85</f>
        <v>#DIV/0!</v>
      </c>
      <c r="V85" s="14" t="e">
        <f aca="false">+T85*U85</f>
        <v>#DIV/0!</v>
      </c>
    </row>
    <row r="1048576" customFormat="false" ht="12.8" hidden="false" customHeight="false" outlineLevel="0" collapsed="false"/>
  </sheetData>
  <autoFilter ref="A1:V85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LibreOffice/6.4.4.2$Windows_X86_64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2026-06-12T14:11:58Z</dcterms:created>
  <dc:creator>Richard</dc:creator>
  <dc:description/>
  <dc:language>pt-BR</dc:language>
  <cp:lastModifiedBy/>
  <dcterms:modified xsi:type="dcterms:W3CDTF">2026-06-23T17:12:51Z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