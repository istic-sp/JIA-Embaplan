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e QC" sheetId="1" state="visible" r:id="rId2"/>
    <sheet name="Resumo" sheetId="2" state="hidden" r:id="rId3"/>
  </sheets>
  <definedNames>
    <definedName function="false" hidden="true" localSheetId="0" name="_xlnm._FilterDatabase" vbProcedure="false">'Base e QC'!$A$1:$V$105</definedName>
    <definedName function="false" hidden="false" localSheetId="0" name="_xlnm._FilterDatabase" vbProcedure="false">'Base e QC'!$A$1:$S$105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<sst xmlns="http://schemas.openxmlformats.org/spreadsheetml/2006/main" count="607" uniqueCount="307">
  <si>
    <t xml:space="preserve">#</t>
  </si>
  <si>
    <t xml:space="preserve">Loja</t>
  </si>
  <si>
    <t xml:space="preserve">Index</t>
  </si>
  <si>
    <t xml:space="preserve">ID do Anúncio</t>
  </si>
  <si>
    <t xml:space="preserve">Nome do Anúncio</t>
  </si>
  <si>
    <t xml:space="preserve">Impressões</t>
  </si>
  <si>
    <t xml:space="preserve">Cliques</t>
  </si>
  <si>
    <t xml:space="preserve">CTR</t>
  </si>
  <si>
    <t xml:space="preserve">Conversões</t>
  </si>
  <si>
    <t xml:space="preserve">Custo por Conversão</t>
  </si>
  <si>
    <t xml:space="preserve">Taxa de Conversão</t>
  </si>
  <si>
    <t xml:space="preserve">Itens Vendidos</t>
  </si>
  <si>
    <t xml:space="preserve">GMV</t>
  </si>
  <si>
    <t xml:space="preserve">Despesas</t>
  </si>
  <si>
    <t xml:space="preserve">ACOS</t>
  </si>
  <si>
    <t xml:space="preserve">Categoria</t>
  </si>
  <si>
    <t xml:space="preserve">Tamanho</t>
  </si>
  <si>
    <t xml:space="preserve">Qtd</t>
  </si>
  <si>
    <t xml:space="preserve">% Lucro Médio P</t>
  </si>
  <si>
    <t xml:space="preserve">lucro liquido</t>
  </si>
  <si>
    <t xml:space="preserve">% Lucro</t>
  </si>
  <si>
    <t xml:space="preserve">índice</t>
  </si>
  <si>
    <t xml:space="preserve">A4+A3</t>
  </si>
  <si>
    <t xml:space="preserve">Kit 6 Bases de Corte (3 un A3 + 3 unidades A4 Paisagem) + 1 Refil de cola Universal 50g </t>
  </si>
  <si>
    <t xml:space="preserve">Base de Corte</t>
  </si>
  <si>
    <t xml:space="preserve">A4 + A3</t>
  </si>
  <si>
    <t xml:space="preserve">Base 30x30</t>
  </si>
  <si>
    <t xml:space="preserve">Base de Corte 30x30 Transparente COMPATIVEL Silhouette Cameo 1, 2, 3 4, 5 Plus e Pro - Com Cola</t>
  </si>
  <si>
    <t xml:space="preserve">30x30</t>
  </si>
  <si>
    <t xml:space="preserve">Base de Corte 30x30 Transparente Compativel Silhouette Cameo 1, 2, 3 e 4 Cola Refil 50g </t>
  </si>
  <si>
    <t xml:space="preserve">KIT 2 Base de Corte 30x30 Transparente COMPATIVEL Silhouette Cameo 2, 3 - Com Cola </t>
  </si>
  <si>
    <t xml:space="preserve">Kit 2 Base de Corte 30x30 Transparente Compativel Silhouette, Cameo - Com Cola Alta Fixação </t>
  </si>
  <si>
    <t xml:space="preserve">Kit 2 Bases De Corte 30x30 Compativel Silhouette Cameo com Cola </t>
  </si>
  <si>
    <t xml:space="preserve">Kit 4 Bases de Corte 30x30 Transparente + 1 Cola de Reposição 50g - Para Silhouette Cameo Compatível </t>
  </si>
  <si>
    <t xml:space="preserve">2 Base de Corte 30x30 Transparente Para Silhouette Cameo, Cameo 2 3 4, 4 Plus e 4 Pro - Com e Sem Cola [3]</t>
  </si>
  <si>
    <t xml:space="preserve">2.03%</t>
  </si>
  <si>
    <t xml:space="preserve">12.95%</t>
  </si>
  <si>
    <t xml:space="preserve">7.62%</t>
  </si>
  <si>
    <t xml:space="preserve">1 Base de Corte 30x30 Para Silhouette Cameo, Cameo 1 2 3 4, 4 Plus e 4 Pro - Versão Com Cola e Sem Cola - 0,40mm [5]</t>
  </si>
  <si>
    <t xml:space="preserve">2.34%</t>
  </si>
  <si>
    <t xml:space="preserve">14.79%</t>
  </si>
  <si>
    <t xml:space="preserve">6.61%</t>
  </si>
  <si>
    <t xml:space="preserve">Base de corte 30x30 Silhouette Portrait 1, 2, e 3 Transparente Com e Sem Cola [2]</t>
  </si>
  <si>
    <t xml:space="preserve">1.89%</t>
  </si>
  <si>
    <t xml:space="preserve">8.25%</t>
  </si>
  <si>
    <t xml:space="preserve">11.08%</t>
  </si>
  <si>
    <t xml:space="preserve">Kit 2 Base de Corte 30x30 Transparente + 1 Cola Refil Base 50g - Compativel Silhouette Portrait, Portrait 2, 3 [3]</t>
  </si>
  <si>
    <t xml:space="preserve">1.32%</t>
  </si>
  <si>
    <t xml:space="preserve">14.10%</t>
  </si>
  <si>
    <t xml:space="preserve">7.24%</t>
  </si>
  <si>
    <t xml:space="preserve">kit 4 Esteira de Corte 30x30 Transparente + 1 Cola Base 50g Compativel Silhouette Portrait 2 e 3 Cameo [3]</t>
  </si>
  <si>
    <t xml:space="preserve">1.38%</t>
  </si>
  <si>
    <t xml:space="preserve">8.50%</t>
  </si>
  <si>
    <t xml:space="preserve">7.76%</t>
  </si>
  <si>
    <t xml:space="preserve">Base 30x30 CM</t>
  </si>
  <si>
    <t xml:space="preserve">Base de Corte C/Cola 30x30 Brother Scanncut - Cm300 (Espessura: 30mm) </t>
  </si>
  <si>
    <t xml:space="preserve">30x30 Scanncut</t>
  </si>
  <si>
    <t xml:space="preserve">Brother ScanNCut - Base de Corte 30x30cm - Compatível com CM300, CM550 e CM650 </t>
  </si>
  <si>
    <t xml:space="preserve">Esteira De Corte 30x30 Para Brother Scanncut CM300, CM550 e CM650 - Envio Imediato! </t>
  </si>
  <si>
    <t xml:space="preserve">Base 30x30 SDX</t>
  </si>
  <si>
    <t xml:space="preserve">1 Base de Corte 30x30 Com Cola para ScanNcut SDX 85, 125 e 225 - Envio Expresso [3]</t>
  </si>
  <si>
    <t xml:space="preserve">2.55%</t>
  </si>
  <si>
    <t xml:space="preserve">6.36%</t>
  </si>
  <si>
    <t xml:space="preserve">6.89%</t>
  </si>
  <si>
    <t xml:space="preserve">30x30 SDX</t>
  </si>
  <si>
    <t xml:space="preserve">Base 30x60</t>
  </si>
  <si>
    <t xml:space="preserve">Base De Corte 30x60 Com Cola Compatível com Silhouette Cameo - Plotters Qualidade Original </t>
  </si>
  <si>
    <t xml:space="preserve">30x60</t>
  </si>
  <si>
    <t xml:space="preserve">Base de Corte 30x60 Para Silhouette Cameo, Cameo 2 3 4 e 4 Plus - Com Cola e Sem Cola - 40mm e 30mm </t>
  </si>
  <si>
    <t xml:space="preserve">Base de Corte para Silhouette Cameo Bannercut 30x60 Com Cola Alta fixação e durabilidade </t>
  </si>
  <si>
    <t xml:space="preserve">KIT 5 placa - Base de Corte 30x60 - com Cola - compatível mesa Transparente</t>
  </si>
  <si>
    <t xml:space="preserve">Base de Corte 30x60 Para Cameo Silhouette - Espessura Original - Corte Com Precisão - Com Cola [3]</t>
  </si>
  <si>
    <t xml:space="preserve">1.73%</t>
  </si>
  <si>
    <t xml:space="preserve">8.84%</t>
  </si>
  <si>
    <t xml:space="preserve">8.30%</t>
  </si>
  <si>
    <t xml:space="preserve">1 Esteira Base de Corte 30x60 Para Plotters Cameo Silhouette [2]</t>
  </si>
  <si>
    <t xml:space="preserve">2.19%</t>
  </si>
  <si>
    <t xml:space="preserve">5.20%</t>
  </si>
  <si>
    <t xml:space="preserve">10.12%</t>
  </si>
  <si>
    <t xml:space="preserve">Base 30x60 SDX</t>
  </si>
  <si>
    <t xml:space="preserve">Base de Corte 30x60 Com Cola para Brother SDX 85, SDX 125 e SDX 225 - Envio Expresso </t>
  </si>
  <si>
    <t xml:space="preserve">30x60 SDX</t>
  </si>
  <si>
    <t xml:space="preserve">Base de Corte Sem Cola 30x60 Para Brother SDX 85, 125 e 225 Espessura original Rigidez [3]</t>
  </si>
  <si>
    <t xml:space="preserve">2.52%</t>
  </si>
  <si>
    <t xml:space="preserve">30x60 SDX Sem Cola</t>
  </si>
  <si>
    <t xml:space="preserve">Base 90x60</t>
  </si>
  <si>
    <t xml:space="preserve">Base de corte 90x60 P/plotters Profissionais Silhouete Cameo 4, Cameo 4 Plus e Cameo Pro e outros modelos [3]</t>
  </si>
  <si>
    <t xml:space="preserve">2.81%</t>
  </si>
  <si>
    <t xml:space="preserve">2.18%</t>
  </si>
  <si>
    <t xml:space="preserve">9.01%</t>
  </si>
  <si>
    <t xml:space="preserve">60x90</t>
  </si>
  <si>
    <t xml:space="preserve">Base A3</t>
  </si>
  <si>
    <t xml:space="preserve">2 Bases de Corte Para Silhouette Cameo A3 Com Cola </t>
  </si>
  <si>
    <t xml:space="preserve">A3</t>
  </si>
  <si>
    <t xml:space="preserve">4 bases de Corte Cameo A3 Com Cola - Plotter Silhouette Qualidade Original Alta rigidez</t>
  </si>
  <si>
    <t xml:space="preserve">1 Base de Corte A3 Branca Para Plotters Cameo Silhouette E Outros Modelos Confira - Com Cola [2]</t>
  </si>
  <si>
    <t xml:space="preserve">1.90%</t>
  </si>
  <si>
    <t xml:space="preserve">10.32%</t>
  </si>
  <si>
    <t xml:space="preserve">8.24%</t>
  </si>
  <si>
    <t xml:space="preserve">Base de Corte A3 Com Cola Para Cameo Silhouette Artesanato - Compatibilidade Universal [4]</t>
  </si>
  <si>
    <t xml:space="preserve">2.22%</t>
  </si>
  <si>
    <t xml:space="preserve">Base A4</t>
  </si>
  <si>
    <t xml:space="preserve">10 Mesa de corte base A4 - Alta Rigidez - resistente branco Poliester cristal</t>
  </si>
  <si>
    <t xml:space="preserve">A4</t>
  </si>
  <si>
    <t xml:space="preserve">2 Base de Corte A4 Transparente +1 Cola Reposição Para Base 50g Para Silhouette Portrait 1,2, 3 e 4 Cameo 2 e 3 Com Cola </t>
  </si>
  <si>
    <t xml:space="preserve">2 Bases de Corte A4 Compatível Silhouette Portrait 1,2,3  - Alta Rigidez Com Cola - Cameo</t>
  </si>
  <si>
    <t xml:space="preserve">Base de corte A4 Silhouette e Cameo 1 a 5 - Alta Durabilidade - Com ou Sem Cola </t>
  </si>
  <si>
    <t xml:space="preserve">Kit 2 Base de Corte A4 Para Silhouette Portrait 2, 3 e 4 - Cameo, Cameo 2 e 3 - Com Cola </t>
  </si>
  <si>
    <t xml:space="preserve">Kit 2 Base de Corte A4 Transparente Silhouette Portrait, Portrait 2, 3 Cameo, Cameo 2 e 3 Com Cola </t>
  </si>
  <si>
    <t xml:space="preserve">Kit 4 Base de Corte A4 Transparente 1 Cola 50g Silhouette Portrait 2,  3 e 4 Papelaria e Escritório </t>
  </si>
  <si>
    <t xml:space="preserve">Kit 2 Bases A4 Transparentes Para Silhouette Portrait, Portrait  1, 2, 3  - Cameo, Cameo 2 e 3 - Com Cola [2]</t>
  </si>
  <si>
    <t xml:space="preserve">2.30%</t>
  </si>
  <si>
    <t xml:space="preserve">15.52%</t>
  </si>
  <si>
    <t xml:space="preserve">6.85%</t>
  </si>
  <si>
    <t xml:space="preserve">Base de Corte Silhouette PORTRAIT e Silhouette CAMEO - Compatível Com Todos Os Modelos - COM COLA [3]</t>
  </si>
  <si>
    <t xml:space="preserve">2.39%</t>
  </si>
  <si>
    <t xml:space="preserve">10.53%</t>
  </si>
  <si>
    <t xml:space="preserve">8.19%</t>
  </si>
  <si>
    <t xml:space="preserve">Base de corte A4 Silhouette Portrait 1, 2, 3 - Cameo Transparente Com e Sem Cola [3]</t>
  </si>
  <si>
    <t xml:space="preserve">2.06%</t>
  </si>
  <si>
    <t xml:space="preserve">15.17%</t>
  </si>
  <si>
    <t xml:space="preserve">6.80%</t>
  </si>
  <si>
    <t xml:space="preserve">Kit 10 Bases de Corte A4 Transparente Compativel Silhouette Portrait 2, e 3 - Com Cola [2]</t>
  </si>
  <si>
    <t xml:space="preserve">1.67%</t>
  </si>
  <si>
    <t xml:space="preserve">6.30%</t>
  </si>
  <si>
    <t xml:space="preserve">7.70%</t>
  </si>
  <si>
    <t xml:space="preserve">1 Base de corte A4 Silhouette Portrait 1, 2, 3  -  Cameo 2 e 3  - Transparente - Com Cola [4]</t>
  </si>
  <si>
    <t xml:space="preserve">2.25%</t>
  </si>
  <si>
    <t xml:space="preserve">15.06%</t>
  </si>
  <si>
    <t xml:space="preserve">Kit 4 Bases de Corte A4 Transparente Compativel Cameo 1, 2, 3, 4 e 5  - Com Cola 20,3cm x 30,5cm [3]</t>
  </si>
  <si>
    <t xml:space="preserve">1.63%</t>
  </si>
  <si>
    <t xml:space="preserve">10.02%</t>
  </si>
  <si>
    <t xml:space="preserve">7.22%</t>
  </si>
  <si>
    <t xml:space="preserve">2 Base de Corte A4 - Linha Pro Com Cola - Compativel Silhouette Portrait - Cameo [4]</t>
  </si>
  <si>
    <t xml:space="preserve">1.55%</t>
  </si>
  <si>
    <t xml:space="preserve">5.31%</t>
  </si>
  <si>
    <t xml:space="preserve">10.60%</t>
  </si>
  <si>
    <t xml:space="preserve">Kit 2 Bases de Corte Transparente A4 Para Silhouette Portrait, Portrait 2, 3 - Cameo 2 e 3 - Com Cola [4]</t>
  </si>
  <si>
    <t xml:space="preserve">1.42%</t>
  </si>
  <si>
    <t xml:space="preserve">11.52%</t>
  </si>
  <si>
    <t xml:space="preserve">9.26%</t>
  </si>
  <si>
    <t xml:space="preserve">2 Base de Corte A4 Transparente + 1 Tubo de Cola Para Reposição - Para Silhouette Portrait e Cameo [4]</t>
  </si>
  <si>
    <t xml:space="preserve">0.96%</t>
  </si>
  <si>
    <t xml:space="preserve">5.32%</t>
  </si>
  <si>
    <t xml:space="preserve">10.11%</t>
  </si>
  <si>
    <t xml:space="preserve">2 Bases de Corte A4 Portrait + 2 Bases A4 Paisagem com cola</t>
  </si>
  <si>
    <t xml:space="preserve">1.36%</t>
  </si>
  <si>
    <t xml:space="preserve">0.82%</t>
  </si>
  <si>
    <t xml:space="preserve">68.46%</t>
  </si>
  <si>
    <t xml:space="preserve">Kit 2 Base de Corte A4 Transparente + 1 Cola Para Reposição 50g - Compatível Com Silhouette Portrait E Cameo [4]</t>
  </si>
  <si>
    <t xml:space="preserve">1.27%</t>
  </si>
  <si>
    <t xml:space="preserve">21.35%</t>
  </si>
  <si>
    <t xml:space="preserve">4 Base de Corte A4 Transparente +1 Cola 50g Compativel Silhouette Portrait 2 e 3 -Com Cola [5]</t>
  </si>
  <si>
    <t xml:space="preserve">0.53%</t>
  </si>
  <si>
    <t xml:space="preserve">3.57%</t>
  </si>
  <si>
    <t xml:space="preserve">15.58%</t>
  </si>
  <si>
    <t xml:space="preserve">Kit 2 Base de Corte A4 Transparente Silhouette - Cameo 2, 3, 4 - Com Cola [3]</t>
  </si>
  <si>
    <t xml:space="preserve">2.14%</t>
  </si>
  <si>
    <t xml:space="preserve">Kit 2 Base de Corte Transparente A4 Retrato - Silhouette Portrait 1, 2 e 3 [5]</t>
  </si>
  <si>
    <t xml:space="preserve">2.01%</t>
  </si>
  <si>
    <t xml:space="preserve">Kit 2 Base de Corte Transparente A4 Silhouette Portrait 2, 3 e 4 Com Cola [2]</t>
  </si>
  <si>
    <t xml:space="preserve">1.94%</t>
  </si>
  <si>
    <t xml:space="preserve">Kit 4 Base de Corte A4 (com Cola) Compatível Silhouette Portrait 1 à 4 + Liner Protetor [4]</t>
  </si>
  <si>
    <t xml:space="preserve">Kit 4 Base de Corte A4 Retrato - Transparente Compativel Silhouette Portrait e Cameo - Com Cola [2]</t>
  </si>
  <si>
    <t xml:space="preserve">1.98%</t>
  </si>
  <si>
    <t xml:space="preserve">Kit 4 Base de Corte A4 Transparente Compativel Silhouette Portrait 1,2 e 3 -Com Cola [2]</t>
  </si>
  <si>
    <t xml:space="preserve">1.65%</t>
  </si>
  <si>
    <t xml:space="preserve">Kit 4 Base de Corte Transparente A4 Retrato - Silhouette Portrait 2, 3 e 4 - Com Cola [4]</t>
  </si>
  <si>
    <t xml:space="preserve">Kit 5 Base de Corte A4 Retrato com Cola Portrait 4 | para Topo de Bolo e Papelaria Criativa</t>
  </si>
  <si>
    <t xml:space="preserve">1.12%</t>
  </si>
  <si>
    <t xml:space="preserve">Base de corte para Silhouette Portrait A4 - 250 Microns Espessura Original - Transparente - Com Cola [3]</t>
  </si>
  <si>
    <t xml:space="preserve">2.33%</t>
  </si>
  <si>
    <t xml:space="preserve">11.44%</t>
  </si>
  <si>
    <t xml:space="preserve">9.10%</t>
  </si>
  <si>
    <t xml:space="preserve">Base A4P</t>
  </si>
  <si>
    <t xml:space="preserve">Kit 4 Base de Corte A4 Paisagem TRANSPARENTE (Com Cola) Silhouette Cameo Alta Rigidez [4]</t>
  </si>
  <si>
    <t xml:space="preserve">1.53%</t>
  </si>
  <si>
    <t xml:space="preserve">Base de Corte Paisagem COMPATIVEL Silhouette Cameo, Cameo 1, 2, 3 E 4 - Com Cola </t>
  </si>
  <si>
    <t xml:space="preserve">A4 Paisagem</t>
  </si>
  <si>
    <t xml:space="preserve">KIT 4 Base de Corte A4 Paisagem  + Cola de Reposição Para Base 50g - Silhouette Portrait e Cameo</t>
  </si>
  <si>
    <t xml:space="preserve">Base Joy</t>
  </si>
  <si>
    <t xml:space="preserve">Base de Corte Power Film Compatível Cricut Joy mini - 1un</t>
  </si>
  <si>
    <t xml:space="preserve">1.03%</t>
  </si>
  <si>
    <t xml:space="preserve">Joy Mini</t>
  </si>
  <si>
    <t xml:space="preserve">Kit 2 Base De Corte Power Film Compatível Cricut Joy Mini 11,5 x 30,5 cm</t>
  </si>
  <si>
    <t xml:space="preserve">0.63%</t>
  </si>
  <si>
    <t xml:space="preserve">Base P4</t>
  </si>
  <si>
    <t xml:space="preserve">Kit 2 Base de Corte Transparente com Cola - A4 Portrait 4 - 250 micras Resistente</t>
  </si>
  <si>
    <t xml:space="preserve">Portrait 4</t>
  </si>
  <si>
    <t xml:space="preserve">Kit 3 Bases de Corte Com Cola A4 para Portrait 4</t>
  </si>
  <si>
    <t xml:space="preserve">1.74%</t>
  </si>
  <si>
    <t xml:space="preserve">4.00%</t>
  </si>
  <si>
    <t xml:space="preserve">21.75%</t>
  </si>
  <si>
    <t xml:space="preserve">Kit 2 Base de Corte Compativel Portrait 4 - com Cola</t>
  </si>
  <si>
    <t xml:space="preserve">1.17%</t>
  </si>
  <si>
    <t xml:space="preserve">56.97%</t>
  </si>
  <si>
    <t xml:space="preserve">Kit 2 Bases de Corte Portrait 4 + Cola 50g - Linha Pro</t>
  </si>
  <si>
    <t xml:space="preserve">1.52%</t>
  </si>
  <si>
    <t xml:space="preserve">2.02%</t>
  </si>
  <si>
    <t xml:space="preserve">29.85%</t>
  </si>
  <si>
    <t xml:space="preserve">Base De Corte Portrait 4 Transparente + 1 Cola 50g</t>
  </si>
  <si>
    <t xml:space="preserve">2.91%</t>
  </si>
  <si>
    <t xml:space="preserve">39.16%</t>
  </si>
  <si>
    <t xml:space="preserve">4 Bases De Corte Com cola A4 para Portrait 4</t>
  </si>
  <si>
    <t xml:space="preserve">0.95%</t>
  </si>
  <si>
    <t xml:space="preserve">0.00%</t>
  </si>
  <si>
    <t xml:space="preserve">3 Base de Corte para Portrait 4 Compatível Silhouette</t>
  </si>
  <si>
    <t xml:space="preserve">1.71%</t>
  </si>
  <si>
    <t xml:space="preserve">Base de Corte Compatível Silhouette Portrait 4 com Cola - Kit com 2 [2]</t>
  </si>
  <si>
    <t xml:space="preserve">Kit 2 Base de Corte Portrait 4 (Com Cola)</t>
  </si>
  <si>
    <t xml:space="preserve">1.97%</t>
  </si>
  <si>
    <t xml:space="preserve">Kit 3 Base de Corte A4 para Portrait 4 - TRANSPARENTE Papelaria Silhouette Esteira de corte - Com cola</t>
  </si>
  <si>
    <t xml:space="preserve">1.04%</t>
  </si>
  <si>
    <t xml:space="preserve">Base Xtra</t>
  </si>
  <si>
    <t xml:space="preserve">Base de Corte Power Film Com cola Compativel com CRICUT JOY XTRA</t>
  </si>
  <si>
    <t xml:space="preserve">2.07%</t>
  </si>
  <si>
    <t xml:space="preserve">Joy Xtra</t>
  </si>
  <si>
    <t xml:space="preserve">Cola</t>
  </si>
  <si>
    <t xml:space="preserve">Cola para Base de Corte Silhouette e ScanNCut - Permanente - Fácil Aplicação - Reposição - 50g </t>
  </si>
  <si>
    <t xml:space="preserve">Cola 50g</t>
  </si>
  <si>
    <t xml:space="preserve">Cola Para Reposição de Base de Corte 50g - PARA TODOS OS MODELOS DE BASES#UNIVERSAL [4]</t>
  </si>
  <si>
    <t xml:space="preserve">1.31%</t>
  </si>
  <si>
    <t xml:space="preserve">6.08%</t>
  </si>
  <si>
    <t xml:space="preserve">18.64%</t>
  </si>
  <si>
    <t xml:space="preserve">QC 10</t>
  </si>
  <si>
    <t xml:space="preserve">23795681999</t>
  </si>
  <si>
    <t xml:space="preserve">Conjunto 10 Quebra Cabeças Diferentes - Era dos Dinossauros - 60 Peças Cada Um </t>
  </si>
  <si>
    <t xml:space="preserve">Quebra Cabeça</t>
  </si>
  <si>
    <t xml:space="preserve">Único</t>
  </si>
  <si>
    <t xml:space="preserve">22797389671</t>
  </si>
  <si>
    <t xml:space="preserve">Quebra Cabeça Kit Com 10 Modelos Mundo Animal VOL 1 e 2 </t>
  </si>
  <si>
    <t xml:space="preserve">22497100149</t>
  </si>
  <si>
    <t xml:space="preserve">10 Quebra-Cabeças Bíblicos - Cada Puzzle com 60 Peças e Caixa Especial </t>
  </si>
  <si>
    <t xml:space="preserve">22497100181</t>
  </si>
  <si>
    <t xml:space="preserve">10 Puzzles Inspirados em Contos de Fada - 60 Peças por Quebra-Cabeça com Embalagem Exclusiva</t>
  </si>
  <si>
    <t xml:space="preserve">22497100169</t>
  </si>
  <si>
    <t xml:space="preserve">10 Quebra-Cabeças bíblicos - 60 Peças por Puzzle - Maleta personalizada - Especial Escola Dominical</t>
  </si>
  <si>
    <t xml:space="preserve">22528314756</t>
  </si>
  <si>
    <t xml:space="preserve">Kit 10 Quebra-Cabeças Infantil Educativo | Especial Escola Dominical | 60 Peças Cada | Aprendizado </t>
  </si>
  <si>
    <t xml:space="preserve">18976211935</t>
  </si>
  <si>
    <t xml:space="preserve">Quebra Cabeça - Kit Com 10 Modelos - Dinossauros </t>
  </si>
  <si>
    <t xml:space="preserve">18321126663</t>
  </si>
  <si>
    <t xml:space="preserve">Kit 10 Quebra Cabeças - Era dos Dinossauros e outros temas ESCOLHA - 60 Peças Cada </t>
  </si>
  <si>
    <t xml:space="preserve">22992892990</t>
  </si>
  <si>
    <t xml:space="preserve">Kit 10 Quebra Cabeça Infantil Mundo Animal Colorido VOL 5 e 6 </t>
  </si>
  <si>
    <t xml:space="preserve">Kit 10 Quebra Cabeça Infantil - Dinossauros - Brinquedo de Montar Educativo [5]</t>
  </si>
  <si>
    <t xml:space="preserve">Kit 10 Quebra Cabeça Infantil Animal – 600 Peças – Brinquedo Educativo [3]</t>
  </si>
  <si>
    <t xml:space="preserve">2.38%</t>
  </si>
  <si>
    <t xml:space="preserve">Kit 10 Quebra Cabeças Infantil Dinossauros 60 Peças Cada - Brinquedo Educativo [3]</t>
  </si>
  <si>
    <t xml:space="preserve">QC 3</t>
  </si>
  <si>
    <t xml:space="preserve">Kit 3 Quebra Cabeça - Dinossauros Vol 3 60 Peças Cada - infantil Dinos - Brinquedo de Montar [2]</t>
  </si>
  <si>
    <t xml:space="preserve">1.93%</t>
  </si>
  <si>
    <t xml:space="preserve">Kit 3 Quebra-cabeça Infantil Gatinhos Fofos Colorido Educativo Dia das Crianças</t>
  </si>
  <si>
    <t xml:space="preserve">1.57%</t>
  </si>
  <si>
    <t xml:space="preserve">QC 5</t>
  </si>
  <si>
    <t xml:space="preserve">21573674223</t>
  </si>
  <si>
    <t xml:space="preserve">5 Quebra Cabeça Educativo Infantil - Kit Bíblico - Vol 1 </t>
  </si>
  <si>
    <t xml:space="preserve">Combo 5 Quebra Cabeças Infantil Mundo Animal Vol 1 - 60 Peças Cada - Leve 5 - Presente de Aniversário [2]</t>
  </si>
  <si>
    <t xml:space="preserve">2.58%</t>
  </si>
  <si>
    <t xml:space="preserve">Kit 10 Quebra Cabeça - Animais - Vol 5 - Para Presente Educativo Clássicos Puzzle Presente de Natal [4]</t>
  </si>
  <si>
    <t xml:space="preserve">2.73%</t>
  </si>
  <si>
    <t xml:space="preserve">Kit 5 Quebra Cabeça Infantil Histórias Evangélicas Vol 2 jogos educativos dia das crianças presente [2]</t>
  </si>
  <si>
    <t xml:space="preserve">2.08%</t>
  </si>
  <si>
    <t xml:space="preserve">Kit 5 Quebra Cabeça Infantil Tema História Clássica Infantil 60 Peças cada - Jogo Educativo [5]</t>
  </si>
  <si>
    <t xml:space="preserve">2.32%</t>
  </si>
  <si>
    <t xml:space="preserve">Kit 5 Quebra Cabeças - 60 Peças Cada - Mundo Animal Vol 5 - Brinquedo Infantil Educativo [2]</t>
  </si>
  <si>
    <t xml:space="preserve">2.45%</t>
  </si>
  <si>
    <t xml:space="preserve">Kit 5 Quebra Cabeças 60 Peças - Mundo Animal Vol 2 Brinquedos educativos Bichos Dia das Crianças [2]</t>
  </si>
  <si>
    <t xml:space="preserve">0.33%</t>
  </si>
  <si>
    <t xml:space="preserve">Kit 5 Quebra Cabeças Infantil Histórias Bíblicas Educativas Cristão Vol 2 - 60 Peças cada [2]</t>
  </si>
  <si>
    <t xml:space="preserve">2.85%</t>
  </si>
  <si>
    <t xml:space="preserve">Kit 5 Quebra-Cabeças de Dinossauros para Crianças – 60 Peças – Colorido, Divertido e Educativo [2]</t>
  </si>
  <si>
    <t xml:space="preserve">2.72%</t>
  </si>
  <si>
    <t xml:space="preserve">QC Branco</t>
  </si>
  <si>
    <t xml:space="preserve">10 Quebra Cabeça Branco Para Sublimação - 60 Peças Cada [3]</t>
  </si>
  <si>
    <t xml:space="preserve">Quebra Cabeça para Sublimação</t>
  </si>
  <si>
    <t xml:space="preserve">Quebra Cabeça em Branco Para Sublimação - Pacote 10un - 60 Peças Cada - Personalização DIY</t>
  </si>
  <si>
    <t xml:space="preserve">2.41%</t>
  </si>
  <si>
    <t xml:space="preserve">Quebra Cabeça Para Sublimação - 60 Peças Cada [2]</t>
  </si>
  <si>
    <t xml:space="preserve">2.87%</t>
  </si>
  <si>
    <t xml:space="preserve">3.58%</t>
  </si>
  <si>
    <t xml:space="preserve">7.18%</t>
  </si>
  <si>
    <t xml:space="preserve">10 Quebra Cabeça Para Sublimação - 60 Peças Cada [4]</t>
  </si>
  <si>
    <t xml:space="preserve">2.47%</t>
  </si>
  <si>
    <t xml:space="preserve">3.89%</t>
  </si>
  <si>
    <t xml:space="preserve">Kit 30 Quebra Cabeça Para Sublimação - 60 Peças Cada - Personalização Sublimar Em Branco [2]</t>
  </si>
  <si>
    <t xml:space="preserve">2.62%</t>
  </si>
  <si>
    <t xml:space="preserve">8.72%</t>
  </si>
  <si>
    <t xml:space="preserve">Kit 50 Quebra Cabeça Para Sublimação - 60 Peças Cada - Personalização Sublimar Em Branco</t>
  </si>
  <si>
    <t xml:space="preserve">1.18%</t>
  </si>
  <si>
    <t xml:space="preserve">7.16%</t>
  </si>
  <si>
    <t xml:space="preserve">Resumo - Base e Esteira de Corte</t>
  </si>
  <si>
    <t xml:space="preserve">Anúncios filtrados</t>
  </si>
  <si>
    <t xml:space="preserve">Investimento (Despesas)</t>
  </si>
  <si>
    <t xml:space="preserve">ROAS médio ponderado</t>
  </si>
  <si>
    <t xml:space="preserve">ACOS médio ponderado</t>
  </si>
  <si>
    <t xml:space="preserve">CTR médio ponderado</t>
  </si>
  <si>
    <t xml:space="preserve">ROAS</t>
  </si>
  <si>
    <t xml:space="preserve">Kit 4 Base de Corte A4 Transparente 1 Cola 50g Silhouette Portrait 2,  3 e 4 Papelaria e Escritório [2]</t>
  </si>
  <si>
    <t xml:space="preserve">2 Base de Corte A4 Transparente +1 Cola Reposição Para Base 50g Para Silhouette Portrait 1,2, 3 e 4 Cameo 2 e 3 Com Cola [3]</t>
  </si>
  <si>
    <t xml:space="preserve">Esteira De Corte 30x30 Para Brother Scanncut CM300, CM550 e CM650 - Envio Imediato! [5]</t>
  </si>
  <si>
    <t xml:space="preserve">Kit 2 Base de Corte A4 Para Silhouette Portrait 2, 3 e 4 - Cameo, Cameo 2 e 3 - Com Cola [3]</t>
  </si>
  <si>
    <t xml:space="preserve">Base de Corte 30x60 Com Cola para Brother SDX 85, SDX 125 e SDX 225 - Envio Expresso [7]</t>
  </si>
  <si>
    <t xml:space="preserve">Kit 2 Base de Corte 30x30 Transparente Compativel Silhouette, Cameo - Com Cola Alta Fixação [2]</t>
  </si>
  <si>
    <t xml:space="preserve">Base de Corte Paisagem COMPATIVEL Silhouette Cameo, Cameo 1, 2, 3 E 4 - Com Cola [2]</t>
  </si>
  <si>
    <t xml:space="preserve">Kit 2 Base de Corte A4 Transparente Silhouette Portrait, Portrait 2, 3 Cameo, Cameo 2 e 3 Com Cola [2]</t>
  </si>
  <si>
    <t xml:space="preserve">Cola para Base de Corte Silhouette e ScanNCut - Permanente - Fácil Aplicação - Reposição - 50g [2]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</si>
</sst>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%"/>
    <numFmt numFmtId="167" formatCode="&quot;R$ &quot;#,##0.00"/>
    <numFmt numFmtId="168" formatCode="_-[$R$-416]\ * #,##0.00_-;\-[$R$-416]\ * #,##0.00_-;_-[$R$-416]\ * \-??_-;_-@_-"/>
    <numFmt numFmtId="169" formatCode="0.0%"/>
    <numFmt numFmtId="170" formatCode="#,##0.0"/>
    <numFmt numFmtId="171" formatCode="0%"/>
    <numFmt numFmtId="172" formatCode="&quot;R$ &quot;#,##0.00"/>
    <numFmt numFmtId="173" formatCode="General"/>
    <numFmt numFmtId="174" formatCode="0.00"/>
  </numFmts>
  <fonts count="2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8"/>
      <name val="Calibri"/>
      <family val="0"/>
      <charset val="1"/>
    </font>
    <font>
      <b val="true"/>
      <sz val="8"/>
      <name val="Calibri"/>
      <family val="2"/>
      <charset val="1"/>
    </font>
    <font>
      <b val="true"/>
      <sz val="8"/>
      <color rgb="FF0F172A"/>
      <name val="Calibri"/>
      <family val="2"/>
      <charset val="1"/>
    </font>
    <font>
      <sz val="8"/>
      <color rgb="FF111827"/>
      <name val="Calibri"/>
      <family val="2"/>
      <charset val="1"/>
    </font>
    <font>
      <b val="true"/>
      <sz val="8"/>
      <color rgb="FFC9211E"/>
      <name val="Calibri"/>
      <family val="0"/>
      <charset val="1"/>
    </font>
    <font>
      <sz val="8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Aptos Narrow"/>
      <family val="2"/>
      <charset val="1"/>
    </font>
    <font>
      <b val="true"/>
      <sz val="16"/>
      <color rgb="FF1F2937"/>
      <name val="Calibri"/>
      <family val="2"/>
      <charset val="1"/>
    </font>
    <font>
      <b val="true"/>
      <sz val="10"/>
      <color rgb="FF334155"/>
      <name val="Calibri"/>
      <family val="2"/>
      <charset val="1"/>
    </font>
    <font>
      <sz val="10"/>
      <color rgb="FF111827"/>
      <name val="Calibri"/>
      <family val="2"/>
      <charset val="1"/>
    </font>
    <font>
      <b val="true"/>
      <sz val="11"/>
      <color rgb="FF111827"/>
      <name val="Calibri"/>
      <family val="2"/>
      <charset val="1"/>
    </font>
    <font>
      <b val="true"/>
      <sz val="11"/>
      <color rgb="FF334155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F172A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1E5F5"/>
        <bgColor rgb="FFDDEBF7"/>
      </patternFill>
    </fill>
    <fill>
      <patternFill patternType="solid">
        <fgColor rgb="FFDDEBF7"/>
        <bgColor rgb="FFEAF3F8"/>
      </patternFill>
    </fill>
    <fill>
      <patternFill patternType="solid">
        <fgColor rgb="FFFBE3D6"/>
        <bgColor rgb="FFF2F2F2"/>
      </patternFill>
    </fill>
    <fill>
      <patternFill patternType="solid">
        <fgColor rgb="FFF2F2F2"/>
        <bgColor rgb="FFEAF3F8"/>
      </patternFill>
    </fill>
    <fill>
      <patternFill patternType="solid">
        <fgColor rgb="FFFFFFCC"/>
        <bgColor rgb="FFF8FAFC"/>
      </patternFill>
    </fill>
    <fill>
      <patternFill patternType="solid">
        <fgColor rgb="FFEAF3F8"/>
        <bgColor rgb="FFF2F2F2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F2F2F2"/>
      <rgbColor rgb="FFF8FAFC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72A"/>
      <rgbColor rgb="FF339966"/>
      <rgbColor rgb="FF111827"/>
      <rgbColor rgb="FF333300"/>
      <rgbColor rgb="FFC9211E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6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P13" activeCellId="0" sqref="P13"/>
    </sheetView>
  </sheetViews>
  <sheetFormatPr defaultColWidth="9.01171875" defaultRowHeight="12.8" zeroHeight="false" outlineLevelRow="0" outlineLevelCol="0"/>
  <cols>
    <col collapsed="false" customWidth="true" hidden="false" outlineLevel="0" max="1" min="1" style="1" width="3.13"/>
    <col collapsed="false" customWidth="true" hidden="false" outlineLevel="0" max="2" min="2" style="1" width="3.76"/>
    <col collapsed="false" customWidth="true" hidden="false" outlineLevel="0" max="3" min="3" style="2" width="23.49"/>
    <col collapsed="false" customWidth="true" hidden="false" outlineLevel="0" max="4" min="4" style="2" width="10.25"/>
    <col collapsed="false" customWidth="true" hidden="false" outlineLevel="0" max="5" min="5" style="3" width="78.38"/>
    <col collapsed="false" customWidth="true" hidden="false" outlineLevel="0" max="6" min="6" style="2" width="9.38"/>
    <col collapsed="false" customWidth="true" hidden="false" outlineLevel="0" max="7" min="7" style="2" width="6.13"/>
    <col collapsed="false" customWidth="true" hidden="false" outlineLevel="0" max="8" min="8" style="2" width="4.75"/>
    <col collapsed="false" customWidth="true" hidden="false" outlineLevel="0" max="9" min="9" style="2" width="9.38"/>
    <col collapsed="false" customWidth="true" hidden="false" outlineLevel="0" max="11" min="10" style="2" width="8.38"/>
    <col collapsed="false" customWidth="true" hidden="false" outlineLevel="0" max="12" min="12" style="2" width="7.49"/>
    <col collapsed="false" customWidth="true" hidden="false" outlineLevel="0" max="13" min="13" style="2" width="9.88"/>
    <col collapsed="false" customWidth="true" hidden="false" outlineLevel="0" max="14" min="14" style="2" width="9.13"/>
    <col collapsed="false" customWidth="true" hidden="false" outlineLevel="0" max="15" min="15" style="2" width="5.5"/>
    <col collapsed="false" customWidth="true" hidden="false" outlineLevel="0" max="16" min="16" style="2" width="20.99"/>
    <col collapsed="false" customWidth="true" hidden="false" outlineLevel="0" max="17" min="17" style="2" width="13.75"/>
    <col collapsed="false" customWidth="true" hidden="false" outlineLevel="0" max="18" min="18" style="4" width="7.26"/>
    <col collapsed="false" customWidth="true" hidden="false" outlineLevel="0" max="19" min="19" style="2" width="9.51"/>
    <col collapsed="false" customWidth="false" hidden="false" outlineLevel="0" max="22" min="20" style="1" width="9"/>
    <col collapsed="false" customWidth="false" hidden="false" outlineLevel="0" max="1024" min="23" style="2" width="9"/>
  </cols>
  <sheetData>
    <row r="1" s="10" customFormat="true" ht="17.6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</row>
    <row r="2" customFormat="false" ht="12.8" hidden="false" customHeight="false" outlineLevel="0" collapsed="false">
      <c r="A2" s="11" t="n">
        <v>28</v>
      </c>
      <c r="B2" s="11" t="n">
        <v>1</v>
      </c>
      <c r="C2" s="12" t="s">
        <v>22</v>
      </c>
      <c r="D2" s="12" t="n">
        <v>21997807147</v>
      </c>
      <c r="E2" s="13" t="s">
        <v>23</v>
      </c>
      <c r="F2" s="14" t="n">
        <v>167</v>
      </c>
      <c r="G2" s="14" t="n">
        <v>0</v>
      </c>
      <c r="H2" s="15" t="n">
        <v>0</v>
      </c>
      <c r="I2" s="14" t="n">
        <v>0</v>
      </c>
      <c r="J2" s="16" t="n">
        <v>0</v>
      </c>
      <c r="K2" s="15" t="n">
        <v>0</v>
      </c>
      <c r="L2" s="14" t="n">
        <v>0</v>
      </c>
      <c r="M2" s="17" t="n">
        <v>0</v>
      </c>
      <c r="N2" s="17" t="n">
        <v>0</v>
      </c>
      <c r="O2" s="15" t="n">
        <v>0</v>
      </c>
      <c r="P2" s="18" t="s">
        <v>24</v>
      </c>
      <c r="Q2" s="18" t="s">
        <v>25</v>
      </c>
      <c r="R2" s="18" t="n">
        <v>6</v>
      </c>
      <c r="S2" s="19" t="n">
        <v>0.3</v>
      </c>
      <c r="T2" s="20" t="n">
        <f aca="false">+S2*M2</f>
        <v>0</v>
      </c>
      <c r="U2" s="21" t="e">
        <f aca="false">+T2/M2</f>
        <v>#DIV/0!</v>
      </c>
      <c r="V2" s="22" t="e">
        <f aca="false">+T2*U2</f>
        <v>#DIV/0!</v>
      </c>
    </row>
    <row r="3" customFormat="false" ht="12.8" hidden="false" customHeight="false" outlineLevel="0" collapsed="false">
      <c r="A3" s="11" t="n">
        <v>6</v>
      </c>
      <c r="B3" s="11" t="n">
        <v>1</v>
      </c>
      <c r="C3" s="12" t="s">
        <v>26</v>
      </c>
      <c r="D3" s="12" t="n">
        <v>23092653904</v>
      </c>
      <c r="E3" s="13" t="s">
        <v>27</v>
      </c>
      <c r="F3" s="14" t="n">
        <v>5958</v>
      </c>
      <c r="G3" s="14" t="n">
        <v>108</v>
      </c>
      <c r="H3" s="15" t="n">
        <v>0.0181</v>
      </c>
      <c r="I3" s="14" t="n">
        <v>12</v>
      </c>
      <c r="J3" s="16" t="n">
        <v>2.57</v>
      </c>
      <c r="K3" s="15" t="n">
        <v>0.1111</v>
      </c>
      <c r="L3" s="14" t="n">
        <v>14</v>
      </c>
      <c r="M3" s="17" t="n">
        <v>460.6</v>
      </c>
      <c r="N3" s="17" t="n">
        <v>30.84</v>
      </c>
      <c r="O3" s="15" t="n">
        <v>0.0669</v>
      </c>
      <c r="P3" s="18" t="s">
        <v>24</v>
      </c>
      <c r="Q3" s="18" t="s">
        <v>28</v>
      </c>
      <c r="R3" s="18" t="n">
        <v>1</v>
      </c>
      <c r="S3" s="23" t="n">
        <v>0.354131533348488</v>
      </c>
      <c r="T3" s="20" t="n">
        <f aca="false">+S3*M3</f>
        <v>163.112984260314</v>
      </c>
      <c r="U3" s="21" t="n">
        <f aca="false">+T3/M3</f>
        <v>0.354131533348488</v>
      </c>
      <c r="V3" s="22" t="n">
        <f aca="false">+T3*U3</f>
        <v>57.7634512251527</v>
      </c>
    </row>
    <row r="4" customFormat="false" ht="12.8" hidden="false" customHeight="false" outlineLevel="0" collapsed="false">
      <c r="A4" s="11" t="n">
        <v>7</v>
      </c>
      <c r="B4" s="11" t="n">
        <v>1</v>
      </c>
      <c r="C4" s="12" t="s">
        <v>26</v>
      </c>
      <c r="D4" s="12" t="n">
        <v>22393068915</v>
      </c>
      <c r="E4" s="13" t="s">
        <v>29</v>
      </c>
      <c r="F4" s="14" t="n">
        <v>6299</v>
      </c>
      <c r="G4" s="14" t="n">
        <v>49</v>
      </c>
      <c r="H4" s="15" t="n">
        <v>0.0078</v>
      </c>
      <c r="I4" s="14" t="n">
        <v>6</v>
      </c>
      <c r="J4" s="16" t="n">
        <v>3.17</v>
      </c>
      <c r="K4" s="15" t="n">
        <v>0.1224</v>
      </c>
      <c r="L4" s="14" t="n">
        <v>6</v>
      </c>
      <c r="M4" s="17" t="n">
        <v>349.4</v>
      </c>
      <c r="N4" s="17" t="n">
        <v>19</v>
      </c>
      <c r="O4" s="15" t="n">
        <v>0.0544</v>
      </c>
      <c r="P4" s="18" t="s">
        <v>24</v>
      </c>
      <c r="Q4" s="18" t="s">
        <v>28</v>
      </c>
      <c r="R4" s="18" t="n">
        <v>1</v>
      </c>
      <c r="S4" s="23" t="n">
        <v>0.354131533348488</v>
      </c>
      <c r="T4" s="20" t="n">
        <f aca="false">+S4*M4</f>
        <v>123.733557751962</v>
      </c>
      <c r="U4" s="21" t="n">
        <f aca="false">+T4/M4</f>
        <v>0.354131533348488</v>
      </c>
      <c r="V4" s="22" t="n">
        <f aca="false">+T4*U4</f>
        <v>43.8179545333659</v>
      </c>
    </row>
    <row r="5" customFormat="false" ht="12.8" hidden="false" customHeight="false" outlineLevel="0" collapsed="false">
      <c r="A5" s="11" t="n">
        <v>18</v>
      </c>
      <c r="B5" s="11" t="n">
        <v>1</v>
      </c>
      <c r="C5" s="12" t="s">
        <v>26</v>
      </c>
      <c r="D5" s="12" t="n">
        <v>23897145567</v>
      </c>
      <c r="E5" s="13" t="s">
        <v>30</v>
      </c>
      <c r="F5" s="14" t="n">
        <v>10249</v>
      </c>
      <c r="G5" s="14" t="n">
        <v>106</v>
      </c>
      <c r="H5" s="15" t="n">
        <v>0.0103</v>
      </c>
      <c r="I5" s="14" t="n">
        <v>5</v>
      </c>
      <c r="J5" s="16" t="n">
        <v>7.83</v>
      </c>
      <c r="K5" s="15" t="n">
        <v>0.0472</v>
      </c>
      <c r="L5" s="14" t="n">
        <v>6</v>
      </c>
      <c r="M5" s="17" t="n">
        <v>399.4</v>
      </c>
      <c r="N5" s="17" t="n">
        <v>39.13</v>
      </c>
      <c r="O5" s="15" t="n">
        <v>0.098</v>
      </c>
      <c r="P5" s="18" t="s">
        <v>24</v>
      </c>
      <c r="Q5" s="18" t="s">
        <v>28</v>
      </c>
      <c r="R5" s="18" t="n">
        <v>2</v>
      </c>
      <c r="S5" s="23" t="n">
        <v>0.356025726027633</v>
      </c>
      <c r="T5" s="20" t="n">
        <f aca="false">+S5*M5</f>
        <v>142.196674975437</v>
      </c>
      <c r="U5" s="21" t="n">
        <f aca="false">+T5/M5</f>
        <v>0.356025726027633</v>
      </c>
      <c r="V5" s="22" t="n">
        <f aca="false">+T5*U5</f>
        <v>50.6256744468451</v>
      </c>
    </row>
    <row r="6" customFormat="false" ht="12.8" hidden="false" customHeight="false" outlineLevel="0" collapsed="false">
      <c r="A6" s="11" t="n">
        <v>19</v>
      </c>
      <c r="B6" s="11" t="n">
        <v>1</v>
      </c>
      <c r="C6" s="12" t="s">
        <v>26</v>
      </c>
      <c r="D6" s="12" t="n">
        <v>23092653852</v>
      </c>
      <c r="E6" s="13" t="s">
        <v>31</v>
      </c>
      <c r="F6" s="14" t="n">
        <v>10452</v>
      </c>
      <c r="G6" s="14" t="n">
        <v>151</v>
      </c>
      <c r="H6" s="15" t="n">
        <v>0.0144</v>
      </c>
      <c r="I6" s="14" t="n">
        <v>25</v>
      </c>
      <c r="J6" s="16" t="n">
        <v>3.04</v>
      </c>
      <c r="K6" s="15" t="n">
        <v>0.1656</v>
      </c>
      <c r="L6" s="14" t="n">
        <v>26</v>
      </c>
      <c r="M6" s="17" t="n">
        <v>1297.4</v>
      </c>
      <c r="N6" s="17" t="n">
        <v>75.98</v>
      </c>
      <c r="O6" s="15" t="n">
        <v>0.0586</v>
      </c>
      <c r="P6" s="18" t="s">
        <v>24</v>
      </c>
      <c r="Q6" s="18" t="s">
        <v>28</v>
      </c>
      <c r="R6" s="18" t="n">
        <v>2</v>
      </c>
      <c r="S6" s="23" t="n">
        <v>0.356025726027633</v>
      </c>
      <c r="T6" s="20" t="n">
        <f aca="false">+S6*M6</f>
        <v>461.907776948251</v>
      </c>
      <c r="U6" s="21" t="n">
        <f aca="false">+T6/M6</f>
        <v>0.356025726027633</v>
      </c>
      <c r="V6" s="22" t="n">
        <f aca="false">+T6*U6</f>
        <v>164.451051645811</v>
      </c>
    </row>
    <row r="7" customFormat="false" ht="12.8" hidden="false" customHeight="false" outlineLevel="0" collapsed="false">
      <c r="A7" s="11" t="n">
        <v>23</v>
      </c>
      <c r="B7" s="11" t="n">
        <v>1</v>
      </c>
      <c r="C7" s="12" t="s">
        <v>26</v>
      </c>
      <c r="D7" s="12" t="n">
        <v>17507436448</v>
      </c>
      <c r="E7" s="13" t="s">
        <v>32</v>
      </c>
      <c r="F7" s="14" t="n">
        <v>7333</v>
      </c>
      <c r="G7" s="14" t="n">
        <v>77</v>
      </c>
      <c r="H7" s="15" t="n">
        <v>0.0105</v>
      </c>
      <c r="I7" s="14" t="n">
        <v>5</v>
      </c>
      <c r="J7" s="16" t="n">
        <v>5.12</v>
      </c>
      <c r="K7" s="15" t="n">
        <v>0.0649</v>
      </c>
      <c r="L7" s="14" t="n">
        <v>5</v>
      </c>
      <c r="M7" s="17" t="n">
        <v>349.5</v>
      </c>
      <c r="N7" s="17" t="n">
        <v>25.59</v>
      </c>
      <c r="O7" s="15" t="n">
        <v>0.0732</v>
      </c>
      <c r="P7" s="18" t="s">
        <v>24</v>
      </c>
      <c r="Q7" s="18" t="s">
        <v>28</v>
      </c>
      <c r="R7" s="18" t="n">
        <v>2</v>
      </c>
      <c r="S7" s="23" t="n">
        <v>0.356025726027633</v>
      </c>
      <c r="T7" s="20" t="n">
        <f aca="false">+S7*M7</f>
        <v>124.430991246658</v>
      </c>
      <c r="U7" s="21" t="n">
        <f aca="false">+T7/M7</f>
        <v>0.356025726027633</v>
      </c>
      <c r="V7" s="22" t="n">
        <f aca="false">+T7*U7</f>
        <v>44.3006339989293</v>
      </c>
    </row>
    <row r="8" customFormat="false" ht="12.8" hidden="false" customHeight="false" outlineLevel="0" collapsed="false">
      <c r="A8" s="11" t="n">
        <v>26</v>
      </c>
      <c r="B8" s="11" t="n">
        <v>1</v>
      </c>
      <c r="C8" s="12" t="s">
        <v>26</v>
      </c>
      <c r="D8" s="12" t="n">
        <v>19699244794</v>
      </c>
      <c r="E8" s="13" t="s">
        <v>33</v>
      </c>
      <c r="F8" s="14" t="n">
        <v>4968</v>
      </c>
      <c r="G8" s="14" t="n">
        <v>52</v>
      </c>
      <c r="H8" s="15" t="n">
        <v>0.0105</v>
      </c>
      <c r="I8" s="14" t="n">
        <v>5</v>
      </c>
      <c r="J8" s="16" t="n">
        <v>6.86</v>
      </c>
      <c r="K8" s="15" t="n">
        <v>0.0962</v>
      </c>
      <c r="L8" s="14" t="n">
        <v>5</v>
      </c>
      <c r="M8" s="17" t="n">
        <v>597.5</v>
      </c>
      <c r="N8" s="17" t="n">
        <v>34.3</v>
      </c>
      <c r="O8" s="15" t="n">
        <v>0.0574</v>
      </c>
      <c r="P8" s="18" t="s">
        <v>24</v>
      </c>
      <c r="Q8" s="18" t="s">
        <v>28</v>
      </c>
      <c r="R8" s="18" t="n">
        <v>4</v>
      </c>
      <c r="S8" s="23" t="n">
        <v>0.373420691782018</v>
      </c>
      <c r="T8" s="20" t="n">
        <f aca="false">+S8*M8</f>
        <v>223.118863339756</v>
      </c>
      <c r="U8" s="21" t="n">
        <f aca="false">+T8/M8</f>
        <v>0.373420691782018</v>
      </c>
      <c r="V8" s="22" t="n">
        <f aca="false">+T8*U8</f>
        <v>83.3172002979494</v>
      </c>
    </row>
    <row r="9" customFormat="false" ht="12.8" hidden="false" customHeight="false" outlineLevel="0" collapsed="false">
      <c r="A9" s="11" t="n">
        <v>40</v>
      </c>
      <c r="B9" s="11" t="n">
        <v>2</v>
      </c>
      <c r="C9" s="24" t="s">
        <v>26</v>
      </c>
      <c r="D9" s="24" t="n">
        <v>20897672485</v>
      </c>
      <c r="E9" s="25" t="s">
        <v>34</v>
      </c>
      <c r="F9" s="24" t="n">
        <v>75988</v>
      </c>
      <c r="G9" s="24" t="n">
        <v>1544</v>
      </c>
      <c r="H9" s="24" t="s">
        <v>35</v>
      </c>
      <c r="I9" s="24" t="n">
        <v>200</v>
      </c>
      <c r="J9" s="24" t="n">
        <v>4.04</v>
      </c>
      <c r="K9" s="24" t="s">
        <v>36</v>
      </c>
      <c r="L9" s="24" t="n">
        <v>206</v>
      </c>
      <c r="M9" s="26" t="n">
        <v>10612.52</v>
      </c>
      <c r="N9" s="27" t="n">
        <v>808.29</v>
      </c>
      <c r="O9" s="24" t="s">
        <v>37</v>
      </c>
      <c r="P9" s="18" t="s">
        <v>24</v>
      </c>
      <c r="Q9" s="18" t="s">
        <v>28</v>
      </c>
      <c r="R9" s="18" t="n">
        <v>2</v>
      </c>
      <c r="S9" s="23" t="n">
        <v>0.356025726027633</v>
      </c>
      <c r="T9" s="20" t="n">
        <f aca="false">+S9*M9</f>
        <v>3778.33013798277</v>
      </c>
      <c r="U9" s="21" t="n">
        <f aca="false">+T9/M9</f>
        <v>0.356025726027633</v>
      </c>
      <c r="V9" s="22" t="n">
        <f aca="false">+T9*U9</f>
        <v>1345.1827305474</v>
      </c>
    </row>
    <row r="10" customFormat="false" ht="12.8" hidden="false" customHeight="false" outlineLevel="0" collapsed="false">
      <c r="A10" s="11" t="n">
        <v>44</v>
      </c>
      <c r="B10" s="11" t="n">
        <v>2</v>
      </c>
      <c r="C10" s="24" t="s">
        <v>26</v>
      </c>
      <c r="D10" s="24" t="n">
        <v>21397167338</v>
      </c>
      <c r="E10" s="25" t="s">
        <v>38</v>
      </c>
      <c r="F10" s="24" t="n">
        <v>34950</v>
      </c>
      <c r="G10" s="24" t="n">
        <v>818</v>
      </c>
      <c r="H10" s="24" t="s">
        <v>39</v>
      </c>
      <c r="I10" s="24" t="n">
        <v>121</v>
      </c>
      <c r="J10" s="24" t="n">
        <v>2.04</v>
      </c>
      <c r="K10" s="24" t="s">
        <v>40</v>
      </c>
      <c r="L10" s="24" t="n">
        <v>125</v>
      </c>
      <c r="M10" s="26" t="n">
        <v>3726.5</v>
      </c>
      <c r="N10" s="27" t="n">
        <v>246.36</v>
      </c>
      <c r="O10" s="24" t="s">
        <v>41</v>
      </c>
      <c r="P10" s="18" t="s">
        <v>24</v>
      </c>
      <c r="Q10" s="18" t="s">
        <v>28</v>
      </c>
      <c r="R10" s="18" t="n">
        <v>1</v>
      </c>
      <c r="S10" s="23" t="n">
        <v>0.354131533348488</v>
      </c>
      <c r="T10" s="20" t="n">
        <f aca="false">+S10*M10</f>
        <v>1319.67115902314</v>
      </c>
      <c r="U10" s="21" t="n">
        <f aca="false">+T10/M10</f>
        <v>0.354131533348488</v>
      </c>
      <c r="V10" s="22" t="n">
        <f aca="false">+T10*U10</f>
        <v>467.337171060642</v>
      </c>
    </row>
    <row r="11" customFormat="false" ht="12.8" hidden="false" customHeight="false" outlineLevel="0" collapsed="false">
      <c r="A11" s="11" t="n">
        <v>51</v>
      </c>
      <c r="B11" s="11" t="n">
        <v>2</v>
      </c>
      <c r="C11" s="24" t="s">
        <v>26</v>
      </c>
      <c r="D11" s="24" t="n">
        <v>22397598129</v>
      </c>
      <c r="E11" s="25" t="s">
        <v>42</v>
      </c>
      <c r="F11" s="24" t="n">
        <v>15990</v>
      </c>
      <c r="G11" s="24" t="n">
        <v>303</v>
      </c>
      <c r="H11" s="24" t="s">
        <v>43</v>
      </c>
      <c r="I11" s="24" t="n">
        <v>25</v>
      </c>
      <c r="J11" s="24" t="n">
        <v>3.75</v>
      </c>
      <c r="K11" s="24" t="s">
        <v>44</v>
      </c>
      <c r="L11" s="24" t="n">
        <v>25</v>
      </c>
      <c r="M11" s="26" t="n">
        <v>846.5</v>
      </c>
      <c r="N11" s="27" t="n">
        <v>93.83</v>
      </c>
      <c r="O11" s="24" t="s">
        <v>45</v>
      </c>
      <c r="P11" s="18" t="s">
        <v>24</v>
      </c>
      <c r="Q11" s="18" t="s">
        <v>28</v>
      </c>
      <c r="R11" s="18" t="n">
        <v>1</v>
      </c>
      <c r="S11" s="23" t="n">
        <v>0.354131533348488</v>
      </c>
      <c r="T11" s="20" t="n">
        <f aca="false">+S11*M11</f>
        <v>299.772342979495</v>
      </c>
      <c r="U11" s="21" t="n">
        <f aca="false">+T11/M11</f>
        <v>0.354131533348488</v>
      </c>
      <c r="V11" s="22" t="n">
        <f aca="false">+T11*U11</f>
        <v>106.158839474798</v>
      </c>
    </row>
    <row r="12" customFormat="false" ht="12.8" hidden="false" customHeight="false" outlineLevel="0" collapsed="false">
      <c r="A12" s="11" t="n">
        <v>55</v>
      </c>
      <c r="B12" s="11" t="n">
        <v>2</v>
      </c>
      <c r="C12" s="24" t="s">
        <v>26</v>
      </c>
      <c r="D12" s="24" t="n">
        <v>23192993710</v>
      </c>
      <c r="E12" s="25" t="s">
        <v>46</v>
      </c>
      <c r="F12" s="24" t="n">
        <v>11790</v>
      </c>
      <c r="G12" s="24" t="n">
        <v>156</v>
      </c>
      <c r="H12" s="24" t="s">
        <v>47</v>
      </c>
      <c r="I12" s="24" t="n">
        <v>22</v>
      </c>
      <c r="J12" s="24" t="n">
        <v>4.48</v>
      </c>
      <c r="K12" s="24" t="s">
        <v>48</v>
      </c>
      <c r="L12" s="24" t="n">
        <v>22</v>
      </c>
      <c r="M12" s="26" t="n">
        <v>1362.3</v>
      </c>
      <c r="N12" s="27" t="n">
        <v>98.59</v>
      </c>
      <c r="O12" s="24" t="s">
        <v>49</v>
      </c>
      <c r="P12" s="18" t="s">
        <v>24</v>
      </c>
      <c r="Q12" s="18" t="s">
        <v>28</v>
      </c>
      <c r="R12" s="18" t="n">
        <v>2</v>
      </c>
      <c r="S12" s="23" t="n">
        <v>0.356025726027633</v>
      </c>
      <c r="T12" s="20" t="n">
        <f aca="false">+S12*M12</f>
        <v>485.013846567444</v>
      </c>
      <c r="U12" s="21" t="n">
        <f aca="false">+T12/M12</f>
        <v>0.356025726027633</v>
      </c>
      <c r="V12" s="22" t="n">
        <f aca="false">+T12*U12</f>
        <v>172.677406857629</v>
      </c>
    </row>
    <row r="13" customFormat="false" ht="12.8" hidden="false" customHeight="false" outlineLevel="0" collapsed="false">
      <c r="A13" s="11" t="n">
        <v>58</v>
      </c>
      <c r="B13" s="11" t="n">
        <v>2</v>
      </c>
      <c r="C13" s="24" t="s">
        <v>26</v>
      </c>
      <c r="D13" s="24" t="n">
        <v>23597490298</v>
      </c>
      <c r="E13" s="25" t="s">
        <v>50</v>
      </c>
      <c r="F13" s="24" t="n">
        <v>11076</v>
      </c>
      <c r="G13" s="24" t="n">
        <v>153</v>
      </c>
      <c r="H13" s="24" t="s">
        <v>51</v>
      </c>
      <c r="I13" s="24" t="n">
        <v>13</v>
      </c>
      <c r="J13" s="24" t="n">
        <v>7.02</v>
      </c>
      <c r="K13" s="24" t="s">
        <v>52</v>
      </c>
      <c r="L13" s="24" t="n">
        <v>13</v>
      </c>
      <c r="M13" s="26" t="n">
        <v>1175.8</v>
      </c>
      <c r="N13" s="27" t="n">
        <v>91.28</v>
      </c>
      <c r="O13" s="24" t="s">
        <v>53</v>
      </c>
      <c r="P13" s="18" t="s">
        <v>24</v>
      </c>
      <c r="Q13" s="18" t="s">
        <v>28</v>
      </c>
      <c r="R13" s="18" t="n">
        <v>4</v>
      </c>
      <c r="S13" s="23" t="n">
        <v>0.373420691782018</v>
      </c>
      <c r="T13" s="20" t="n">
        <f aca="false">+S13*M13</f>
        <v>439.068049397297</v>
      </c>
      <c r="U13" s="21" t="n">
        <f aca="false">+T13/M13</f>
        <v>0.373420691782018</v>
      </c>
      <c r="V13" s="22" t="n">
        <f aca="false">+T13*U13</f>
        <v>163.95709474532</v>
      </c>
    </row>
    <row r="14" customFormat="false" ht="12.8" hidden="false" customHeight="false" outlineLevel="0" collapsed="false">
      <c r="A14" s="11" t="n">
        <v>12</v>
      </c>
      <c r="B14" s="11" t="n">
        <v>1</v>
      </c>
      <c r="C14" s="12" t="s">
        <v>54</v>
      </c>
      <c r="D14" s="12" t="n">
        <v>13869340936</v>
      </c>
      <c r="E14" s="13" t="s">
        <v>55</v>
      </c>
      <c r="F14" s="14" t="n">
        <v>8898</v>
      </c>
      <c r="G14" s="14" t="n">
        <v>211</v>
      </c>
      <c r="H14" s="15" t="n">
        <v>0.0237</v>
      </c>
      <c r="I14" s="14" t="n">
        <v>17</v>
      </c>
      <c r="J14" s="16" t="n">
        <v>4.12</v>
      </c>
      <c r="K14" s="15" t="n">
        <v>0.0806</v>
      </c>
      <c r="L14" s="14" t="n">
        <v>18</v>
      </c>
      <c r="M14" s="17" t="n">
        <v>664.2</v>
      </c>
      <c r="N14" s="17" t="n">
        <v>70</v>
      </c>
      <c r="O14" s="15" t="n">
        <v>0.1054</v>
      </c>
      <c r="P14" s="18" t="s">
        <v>24</v>
      </c>
      <c r="Q14" s="18" t="s">
        <v>56</v>
      </c>
      <c r="R14" s="18" t="n">
        <v>1</v>
      </c>
      <c r="S14" s="23" t="n">
        <v>0.388761797727762</v>
      </c>
      <c r="T14" s="20" t="n">
        <f aca="false">+S14*M14</f>
        <v>258.215586050779</v>
      </c>
      <c r="U14" s="21" t="n">
        <f aca="false">+T14/M14</f>
        <v>0.388761797727762</v>
      </c>
      <c r="V14" s="22" t="n">
        <f aca="false">+T14*U14</f>
        <v>100.384355434428</v>
      </c>
    </row>
    <row r="15" customFormat="false" ht="12.8" hidden="false" customHeight="false" outlineLevel="0" collapsed="false">
      <c r="A15" s="11" t="n">
        <v>15</v>
      </c>
      <c r="B15" s="11" t="n">
        <v>1</v>
      </c>
      <c r="C15" s="12" t="s">
        <v>54</v>
      </c>
      <c r="D15" s="12" t="n">
        <v>15037739365</v>
      </c>
      <c r="E15" s="13" t="s">
        <v>57</v>
      </c>
      <c r="F15" s="14" t="n">
        <v>7279</v>
      </c>
      <c r="G15" s="14" t="n">
        <v>176</v>
      </c>
      <c r="H15" s="15" t="n">
        <v>0.0242</v>
      </c>
      <c r="I15" s="14" t="n">
        <v>9</v>
      </c>
      <c r="J15" s="16" t="n">
        <v>4.23</v>
      </c>
      <c r="K15" s="15" t="n">
        <v>0.0511</v>
      </c>
      <c r="L15" s="14" t="n">
        <v>9</v>
      </c>
      <c r="M15" s="17" t="n">
        <v>331.2</v>
      </c>
      <c r="N15" s="17" t="n">
        <v>38.04</v>
      </c>
      <c r="O15" s="15" t="n">
        <v>0.1148</v>
      </c>
      <c r="P15" s="18" t="s">
        <v>24</v>
      </c>
      <c r="Q15" s="18" t="s">
        <v>56</v>
      </c>
      <c r="R15" s="18" t="n">
        <v>1</v>
      </c>
      <c r="S15" s="23" t="n">
        <v>0.388761797727762</v>
      </c>
      <c r="T15" s="20" t="n">
        <f aca="false">+S15*M15</f>
        <v>128.757907407435</v>
      </c>
      <c r="U15" s="21" t="n">
        <f aca="false">+T15/M15</f>
        <v>0.388761797727762</v>
      </c>
      <c r="V15" s="22" t="n">
        <f aca="false">+T15*U15</f>
        <v>50.056155555379</v>
      </c>
    </row>
    <row r="16" customFormat="false" ht="12.8" hidden="false" customHeight="false" outlineLevel="0" collapsed="false">
      <c r="A16" s="11" t="n">
        <v>17</v>
      </c>
      <c r="B16" s="11" t="n">
        <v>1</v>
      </c>
      <c r="C16" s="12" t="s">
        <v>54</v>
      </c>
      <c r="D16" s="12" t="n">
        <v>15833567190</v>
      </c>
      <c r="E16" s="13" t="s">
        <v>58</v>
      </c>
      <c r="F16" s="14" t="n">
        <v>30225</v>
      </c>
      <c r="G16" s="14" t="n">
        <v>1114</v>
      </c>
      <c r="H16" s="15" t="n">
        <v>0.0369</v>
      </c>
      <c r="I16" s="14" t="n">
        <v>62</v>
      </c>
      <c r="J16" s="16" t="n">
        <v>2.44</v>
      </c>
      <c r="K16" s="15" t="n">
        <v>0.0557</v>
      </c>
      <c r="L16" s="14" t="n">
        <v>64</v>
      </c>
      <c r="M16" s="17" t="n">
        <v>2315.9</v>
      </c>
      <c r="N16" s="17" t="n">
        <v>151.02</v>
      </c>
      <c r="O16" s="15" t="n">
        <v>0.0652</v>
      </c>
      <c r="P16" s="18" t="s">
        <v>24</v>
      </c>
      <c r="Q16" s="18" t="s">
        <v>56</v>
      </c>
      <c r="R16" s="18" t="n">
        <v>1</v>
      </c>
      <c r="S16" s="23" t="n">
        <v>0.388761797727762</v>
      </c>
      <c r="T16" s="20" t="n">
        <f aca="false">+S16*M16</f>
        <v>900.333447357723</v>
      </c>
      <c r="U16" s="21" t="n">
        <f aca="false">+T16/M16</f>
        <v>0.388761797727762</v>
      </c>
      <c r="V16" s="22" t="n">
        <f aca="false">+T16*U16</f>
        <v>350.015249549222</v>
      </c>
    </row>
    <row r="17" customFormat="false" ht="12.8" hidden="false" customHeight="false" outlineLevel="0" collapsed="false">
      <c r="A17" s="11" t="n">
        <v>42</v>
      </c>
      <c r="B17" s="11" t="n">
        <v>2</v>
      </c>
      <c r="C17" s="24" t="s">
        <v>59</v>
      </c>
      <c r="D17" s="24" t="n">
        <v>22792913222</v>
      </c>
      <c r="E17" s="25" t="s">
        <v>60</v>
      </c>
      <c r="F17" s="24" t="n">
        <v>36365</v>
      </c>
      <c r="G17" s="24" t="n">
        <v>928</v>
      </c>
      <c r="H17" s="24" t="s">
        <v>61</v>
      </c>
      <c r="I17" s="24" t="n">
        <v>59</v>
      </c>
      <c r="J17" s="24" t="n">
        <v>4.67</v>
      </c>
      <c r="K17" s="24" t="s">
        <v>62</v>
      </c>
      <c r="L17" s="24" t="n">
        <v>62</v>
      </c>
      <c r="M17" s="26" t="n">
        <v>4001.69</v>
      </c>
      <c r="N17" s="27" t="n">
        <v>275.75</v>
      </c>
      <c r="O17" s="24" t="s">
        <v>63</v>
      </c>
      <c r="P17" s="18" t="s">
        <v>24</v>
      </c>
      <c r="Q17" s="18" t="s">
        <v>64</v>
      </c>
      <c r="R17" s="18" t="n">
        <v>1</v>
      </c>
      <c r="S17" s="23" t="n">
        <v>0.460836410607954</v>
      </c>
      <c r="T17" s="20" t="n">
        <f aca="false">+S17*M17</f>
        <v>1844.12445596574</v>
      </c>
      <c r="U17" s="21" t="n">
        <f aca="false">+T17/M17</f>
        <v>0.460836410607954</v>
      </c>
      <c r="V17" s="22" t="n">
        <f aca="false">+T17*U17</f>
        <v>849.8396950016</v>
      </c>
    </row>
    <row r="18" customFormat="false" ht="12.8" hidden="false" customHeight="false" outlineLevel="0" collapsed="false">
      <c r="A18" s="11" t="n">
        <v>8</v>
      </c>
      <c r="B18" s="11" t="n">
        <v>1</v>
      </c>
      <c r="C18" s="12" t="s">
        <v>65</v>
      </c>
      <c r="D18" s="12" t="n">
        <v>11714995653</v>
      </c>
      <c r="E18" s="13" t="s">
        <v>66</v>
      </c>
      <c r="F18" s="14" t="n">
        <v>8226</v>
      </c>
      <c r="G18" s="14" t="n">
        <v>185</v>
      </c>
      <c r="H18" s="15" t="n">
        <v>0.0225</v>
      </c>
      <c r="I18" s="14" t="n">
        <v>11</v>
      </c>
      <c r="J18" s="16" t="n">
        <v>4.4</v>
      </c>
      <c r="K18" s="15" t="n">
        <v>0.0595</v>
      </c>
      <c r="L18" s="14" t="n">
        <v>11</v>
      </c>
      <c r="M18" s="17" t="n">
        <v>512.9</v>
      </c>
      <c r="N18" s="17" t="n">
        <v>48.37</v>
      </c>
      <c r="O18" s="15" t="n">
        <v>0.0943</v>
      </c>
      <c r="P18" s="18" t="s">
        <v>24</v>
      </c>
      <c r="Q18" s="18" t="s">
        <v>67</v>
      </c>
      <c r="R18" s="18" t="n">
        <v>1</v>
      </c>
      <c r="S18" s="23" t="n">
        <v>0.317330862949243</v>
      </c>
      <c r="T18" s="20" t="n">
        <f aca="false">+S18*M18</f>
        <v>162.758999606667</v>
      </c>
      <c r="U18" s="21" t="n">
        <f aca="false">+T18/M18</f>
        <v>0.317330862949243</v>
      </c>
      <c r="V18" s="22" t="n">
        <f aca="false">+T18*U18</f>
        <v>51.6484537979392</v>
      </c>
    </row>
    <row r="19" customFormat="false" ht="12.8" hidden="false" customHeight="false" outlineLevel="0" collapsed="false">
      <c r="A19" s="11" t="n">
        <v>10</v>
      </c>
      <c r="B19" s="11" t="n">
        <v>1</v>
      </c>
      <c r="C19" s="12" t="s">
        <v>65</v>
      </c>
      <c r="D19" s="12" t="n">
        <v>22891613667</v>
      </c>
      <c r="E19" s="13" t="s">
        <v>68</v>
      </c>
      <c r="F19" s="14" t="n">
        <v>7003</v>
      </c>
      <c r="G19" s="14" t="n">
        <v>87</v>
      </c>
      <c r="H19" s="15" t="n">
        <v>0.0124</v>
      </c>
      <c r="I19" s="14" t="n">
        <v>5</v>
      </c>
      <c r="J19" s="16" t="n">
        <v>5.23</v>
      </c>
      <c r="K19" s="15" t="n">
        <v>0.0575</v>
      </c>
      <c r="L19" s="14" t="n">
        <v>5</v>
      </c>
      <c r="M19" s="17" t="n">
        <v>229.3</v>
      </c>
      <c r="N19" s="17" t="n">
        <v>26.13</v>
      </c>
      <c r="O19" s="15" t="n">
        <v>0.114</v>
      </c>
      <c r="P19" s="18" t="s">
        <v>24</v>
      </c>
      <c r="Q19" s="18" t="s">
        <v>67</v>
      </c>
      <c r="R19" s="18" t="n">
        <v>1</v>
      </c>
      <c r="S19" s="23" t="n">
        <v>0.317330862949243</v>
      </c>
      <c r="T19" s="20" t="n">
        <f aca="false">+S19*M19</f>
        <v>72.7639668742615</v>
      </c>
      <c r="U19" s="21" t="n">
        <f aca="false">+T19/M19</f>
        <v>0.317330862949243</v>
      </c>
      <c r="V19" s="22" t="n">
        <f aca="false">+T19*U19</f>
        <v>23.0902523998196</v>
      </c>
    </row>
    <row r="20" customFormat="false" ht="12.8" hidden="false" customHeight="false" outlineLevel="0" collapsed="false">
      <c r="A20" s="11" t="n">
        <v>14</v>
      </c>
      <c r="B20" s="11" t="n">
        <v>1</v>
      </c>
      <c r="C20" s="12" t="s">
        <v>65</v>
      </c>
      <c r="D20" s="12" t="n">
        <v>15657461060</v>
      </c>
      <c r="E20" s="13" t="s">
        <v>69</v>
      </c>
      <c r="F20" s="14" t="n">
        <v>7543</v>
      </c>
      <c r="G20" s="14" t="n">
        <v>127</v>
      </c>
      <c r="H20" s="15" t="n">
        <v>0.0168</v>
      </c>
      <c r="I20" s="14" t="n">
        <v>8</v>
      </c>
      <c r="J20" s="16" t="n">
        <v>3.35</v>
      </c>
      <c r="K20" s="15" t="n">
        <v>0.063</v>
      </c>
      <c r="L20" s="14" t="n">
        <v>8</v>
      </c>
      <c r="M20" s="17" t="n">
        <v>367.2</v>
      </c>
      <c r="N20" s="17" t="n">
        <v>26.81</v>
      </c>
      <c r="O20" s="15" t="n">
        <v>0.073</v>
      </c>
      <c r="P20" s="18" t="s">
        <v>24</v>
      </c>
      <c r="Q20" s="18" t="s">
        <v>67</v>
      </c>
      <c r="R20" s="18" t="n">
        <v>1</v>
      </c>
      <c r="S20" s="23" t="n">
        <v>0.317330862949243</v>
      </c>
      <c r="T20" s="20" t="n">
        <f aca="false">+S20*M20</f>
        <v>116.523892874962</v>
      </c>
      <c r="U20" s="21" t="n">
        <f aca="false">+T20/M20</f>
        <v>0.317330862949243</v>
      </c>
      <c r="V20" s="22" t="n">
        <f aca="false">+T20*U20</f>
        <v>36.9766274802169</v>
      </c>
    </row>
    <row r="21" customFormat="false" ht="12.8" hidden="false" customHeight="false" outlineLevel="0" collapsed="false">
      <c r="A21" s="11" t="n">
        <v>27</v>
      </c>
      <c r="B21" s="11" t="n">
        <v>1</v>
      </c>
      <c r="C21" s="12" t="s">
        <v>65</v>
      </c>
      <c r="D21" s="12" t="n">
        <v>22298698288</v>
      </c>
      <c r="E21" s="13" t="s">
        <v>70</v>
      </c>
      <c r="F21" s="14" t="n">
        <v>2578</v>
      </c>
      <c r="G21" s="14" t="n">
        <v>18</v>
      </c>
      <c r="H21" s="15" t="n">
        <v>0.007</v>
      </c>
      <c r="I21" s="14" t="n">
        <v>0</v>
      </c>
      <c r="J21" s="16" t="n">
        <v>0</v>
      </c>
      <c r="K21" s="15" t="n">
        <v>0</v>
      </c>
      <c r="L21" s="14" t="n">
        <v>0</v>
      </c>
      <c r="M21" s="17" t="n">
        <v>0</v>
      </c>
      <c r="N21" s="17" t="n">
        <v>10.18</v>
      </c>
      <c r="O21" s="15" t="n">
        <v>0</v>
      </c>
      <c r="P21" s="18" t="s">
        <v>24</v>
      </c>
      <c r="Q21" s="18" t="s">
        <v>67</v>
      </c>
      <c r="R21" s="18" t="n">
        <v>5</v>
      </c>
      <c r="S21" s="23" t="n">
        <v>0.296842272300239</v>
      </c>
      <c r="T21" s="20" t="n">
        <f aca="false">+S21*M21</f>
        <v>0</v>
      </c>
      <c r="U21" s="21" t="e">
        <f aca="false">+T21/M21</f>
        <v>#DIV/0!</v>
      </c>
      <c r="V21" s="22" t="e">
        <f aca="false">+T21*U21</f>
        <v>#DIV/0!</v>
      </c>
    </row>
    <row r="22" customFormat="false" ht="12.8" hidden="false" customHeight="false" outlineLevel="0" collapsed="false">
      <c r="A22" s="11" t="n">
        <v>52</v>
      </c>
      <c r="B22" s="11" t="n">
        <v>2</v>
      </c>
      <c r="C22" s="24" t="s">
        <v>65</v>
      </c>
      <c r="D22" s="24" t="n">
        <v>22392895533</v>
      </c>
      <c r="E22" s="25" t="s">
        <v>71</v>
      </c>
      <c r="F22" s="24" t="n">
        <v>14429</v>
      </c>
      <c r="G22" s="24" t="n">
        <v>249</v>
      </c>
      <c r="H22" s="24" t="s">
        <v>72</v>
      </c>
      <c r="I22" s="24" t="n">
        <v>22</v>
      </c>
      <c r="J22" s="24" t="n">
        <v>5</v>
      </c>
      <c r="K22" s="24" t="s">
        <v>73</v>
      </c>
      <c r="L22" s="24" t="n">
        <v>25</v>
      </c>
      <c r="M22" s="26" t="n">
        <v>1325.74</v>
      </c>
      <c r="N22" s="27" t="n">
        <v>110.08</v>
      </c>
      <c r="O22" s="24" t="s">
        <v>74</v>
      </c>
      <c r="P22" s="18" t="s">
        <v>24</v>
      </c>
      <c r="Q22" s="18" t="s">
        <v>67</v>
      </c>
      <c r="R22" s="18" t="n">
        <v>1</v>
      </c>
      <c r="S22" s="23" t="n">
        <v>0.317330862949243</v>
      </c>
      <c r="T22" s="20" t="n">
        <f aca="false">+S22*M22</f>
        <v>420.69821824633</v>
      </c>
      <c r="U22" s="21" t="n">
        <f aca="false">+T22/M22</f>
        <v>0.317330862949243</v>
      </c>
      <c r="V22" s="22" t="n">
        <f aca="false">+T22*U22</f>
        <v>133.500528637317</v>
      </c>
    </row>
    <row r="23" customFormat="false" ht="12.8" hidden="false" customHeight="false" outlineLevel="0" collapsed="false">
      <c r="A23" s="11" t="n">
        <v>57</v>
      </c>
      <c r="B23" s="11" t="n">
        <v>2</v>
      </c>
      <c r="C23" s="24" t="s">
        <v>65</v>
      </c>
      <c r="D23" s="24" t="n">
        <v>22392890747</v>
      </c>
      <c r="E23" s="25" t="s">
        <v>75</v>
      </c>
      <c r="F23" s="24" t="n">
        <v>11393</v>
      </c>
      <c r="G23" s="24" t="n">
        <v>250</v>
      </c>
      <c r="H23" s="24" t="s">
        <v>76</v>
      </c>
      <c r="I23" s="24" t="n">
        <v>13</v>
      </c>
      <c r="J23" s="24" t="n">
        <v>4.54</v>
      </c>
      <c r="K23" s="24" t="s">
        <v>77</v>
      </c>
      <c r="L23" s="24" t="n">
        <v>13</v>
      </c>
      <c r="M23" s="26" t="n">
        <v>582.86</v>
      </c>
      <c r="N23" s="27" t="n">
        <v>58.99</v>
      </c>
      <c r="O23" s="24" t="s">
        <v>78</v>
      </c>
      <c r="P23" s="18" t="s">
        <v>24</v>
      </c>
      <c r="Q23" s="18" t="s">
        <v>67</v>
      </c>
      <c r="R23" s="18" t="n">
        <v>1</v>
      </c>
      <c r="S23" s="23" t="n">
        <v>0.317330862949243</v>
      </c>
      <c r="T23" s="20" t="n">
        <f aca="false">+S23*M23</f>
        <v>184.959466778596</v>
      </c>
      <c r="U23" s="21" t="n">
        <f aca="false">+T23/M23</f>
        <v>0.317330862949243</v>
      </c>
      <c r="V23" s="22" t="n">
        <f aca="false">+T23*U23</f>
        <v>58.6933472034838</v>
      </c>
    </row>
    <row r="24" customFormat="false" ht="12.8" hidden="false" customHeight="false" outlineLevel="0" collapsed="false">
      <c r="A24" s="11" t="n">
        <v>9</v>
      </c>
      <c r="B24" s="11" t="n">
        <v>1</v>
      </c>
      <c r="C24" s="12" t="s">
        <v>79</v>
      </c>
      <c r="D24" s="12" t="n">
        <v>15250252385</v>
      </c>
      <c r="E24" s="13" t="s">
        <v>80</v>
      </c>
      <c r="F24" s="14" t="n">
        <v>18785</v>
      </c>
      <c r="G24" s="14" t="n">
        <v>567</v>
      </c>
      <c r="H24" s="15" t="n">
        <v>0.0302</v>
      </c>
      <c r="I24" s="14" t="n">
        <v>36</v>
      </c>
      <c r="J24" s="16" t="n">
        <v>3.45</v>
      </c>
      <c r="K24" s="15" t="n">
        <v>0.0635</v>
      </c>
      <c r="L24" s="14" t="n">
        <v>38</v>
      </c>
      <c r="M24" s="17" t="n">
        <v>1640.2</v>
      </c>
      <c r="N24" s="17" t="n">
        <v>124.13</v>
      </c>
      <c r="O24" s="15" t="n">
        <v>0.0757</v>
      </c>
      <c r="P24" s="18" t="s">
        <v>24</v>
      </c>
      <c r="Q24" s="18" t="s">
        <v>81</v>
      </c>
      <c r="R24" s="18" t="n">
        <v>1</v>
      </c>
      <c r="S24" s="23" t="n">
        <v>0.337233190462588</v>
      </c>
      <c r="T24" s="20" t="n">
        <f aca="false">+S24*M24</f>
        <v>553.129878996737</v>
      </c>
      <c r="U24" s="21" t="n">
        <f aca="false">+T24/M24</f>
        <v>0.337233190462588</v>
      </c>
      <c r="V24" s="22" t="n">
        <f aca="false">+T24*U24</f>
        <v>186.533753834255</v>
      </c>
    </row>
    <row r="25" customFormat="false" ht="12.8" hidden="false" customHeight="false" outlineLevel="0" collapsed="false">
      <c r="A25" s="11" t="n">
        <v>77</v>
      </c>
      <c r="B25" s="11" t="n">
        <v>3</v>
      </c>
      <c r="C25" s="24" t="s">
        <v>79</v>
      </c>
      <c r="D25" s="28" t="n">
        <v>23329850370</v>
      </c>
      <c r="E25" s="29" t="s">
        <v>82</v>
      </c>
      <c r="F25" s="28" t="n">
        <v>9349</v>
      </c>
      <c r="G25" s="28" t="n">
        <v>236</v>
      </c>
      <c r="H25" s="28" t="s">
        <v>83</v>
      </c>
      <c r="I25" s="28" t="n">
        <v>13</v>
      </c>
      <c r="J25" s="28" t="n">
        <v>3.99</v>
      </c>
      <c r="K25" s="30" t="n">
        <v>0.0551</v>
      </c>
      <c r="L25" s="28" t="n">
        <v>13</v>
      </c>
      <c r="M25" s="31" t="n">
        <v>713.12</v>
      </c>
      <c r="N25" s="32" t="n">
        <v>51.83</v>
      </c>
      <c r="O25" s="30" t="n">
        <v>0.0727</v>
      </c>
      <c r="P25" s="18" t="s">
        <v>24</v>
      </c>
      <c r="Q25" s="18" t="s">
        <v>84</v>
      </c>
      <c r="R25" s="18" t="n">
        <v>1</v>
      </c>
      <c r="S25" s="23" t="n">
        <v>0.311088018421918</v>
      </c>
      <c r="T25" s="20" t="n">
        <f aca="false">+S25*M25</f>
        <v>221.843087697038</v>
      </c>
      <c r="U25" s="21" t="n">
        <f aca="false">+T25/M25</f>
        <v>0.311088018421918</v>
      </c>
      <c r="V25" s="22" t="n">
        <f aca="false">+T25*U25</f>
        <v>69.0127265522714</v>
      </c>
    </row>
    <row r="26" customFormat="false" ht="12.8" hidden="false" customHeight="false" outlineLevel="0" collapsed="false">
      <c r="A26" s="11" t="n">
        <v>62</v>
      </c>
      <c r="B26" s="11" t="n">
        <v>2</v>
      </c>
      <c r="C26" s="24" t="s">
        <v>85</v>
      </c>
      <c r="D26" s="24" t="n">
        <v>22692878658</v>
      </c>
      <c r="E26" s="25" t="s">
        <v>86</v>
      </c>
      <c r="F26" s="24" t="n">
        <v>8148</v>
      </c>
      <c r="G26" s="24" t="n">
        <v>229</v>
      </c>
      <c r="H26" s="24" t="s">
        <v>87</v>
      </c>
      <c r="I26" s="24" t="n">
        <v>5</v>
      </c>
      <c r="J26" s="24" t="n">
        <v>7.17</v>
      </c>
      <c r="K26" s="24" t="s">
        <v>88</v>
      </c>
      <c r="L26" s="24" t="n">
        <v>5</v>
      </c>
      <c r="M26" s="26" t="n">
        <v>397.9</v>
      </c>
      <c r="N26" s="27" t="n">
        <v>35.84</v>
      </c>
      <c r="O26" s="24" t="s">
        <v>89</v>
      </c>
      <c r="P26" s="18" t="s">
        <v>24</v>
      </c>
      <c r="Q26" s="18" t="s">
        <v>90</v>
      </c>
      <c r="R26" s="18" t="n">
        <v>1</v>
      </c>
      <c r="S26" s="23" t="n">
        <v>0.342104896097096</v>
      </c>
      <c r="T26" s="20" t="n">
        <f aca="false">+S26*M26</f>
        <v>136.123538157035</v>
      </c>
      <c r="U26" s="21" t="n">
        <f aca="false">+T26/M26</f>
        <v>0.342104896097096</v>
      </c>
      <c r="V26" s="22" t="n">
        <f aca="false">+T26*U26</f>
        <v>46.5685288775814</v>
      </c>
    </row>
    <row r="27" customFormat="false" ht="12.8" hidden="false" customHeight="false" outlineLevel="0" collapsed="false">
      <c r="A27" s="11" t="n">
        <v>4</v>
      </c>
      <c r="B27" s="11" t="n">
        <v>1</v>
      </c>
      <c r="C27" s="12" t="s">
        <v>91</v>
      </c>
      <c r="D27" s="12" t="n">
        <v>17936580203</v>
      </c>
      <c r="E27" s="13" t="s">
        <v>92</v>
      </c>
      <c r="F27" s="14" t="n">
        <v>5968</v>
      </c>
      <c r="G27" s="14" t="n">
        <v>74</v>
      </c>
      <c r="H27" s="15" t="n">
        <v>0.0124</v>
      </c>
      <c r="I27" s="14" t="n">
        <v>6</v>
      </c>
      <c r="J27" s="16" t="n">
        <v>5.19</v>
      </c>
      <c r="K27" s="15" t="n">
        <v>0.0811</v>
      </c>
      <c r="L27" s="14" t="n">
        <v>6</v>
      </c>
      <c r="M27" s="17" t="n">
        <v>401.4</v>
      </c>
      <c r="N27" s="17" t="n">
        <v>31.15</v>
      </c>
      <c r="O27" s="15" t="n">
        <v>0.0776</v>
      </c>
      <c r="P27" s="18" t="s">
        <v>24</v>
      </c>
      <c r="Q27" s="18" t="s">
        <v>93</v>
      </c>
      <c r="R27" s="18" t="n">
        <v>2</v>
      </c>
      <c r="S27" s="23" t="n">
        <v>0.381352572185612</v>
      </c>
      <c r="T27" s="20" t="n">
        <f aca="false">+S27*M27</f>
        <v>153.074922475305</v>
      </c>
      <c r="U27" s="21" t="n">
        <f aca="false">+T27/M27</f>
        <v>0.381352572185612</v>
      </c>
      <c r="V27" s="22" t="n">
        <f aca="false">+T27*U27</f>
        <v>58.3755154230706</v>
      </c>
    </row>
    <row r="28" customFormat="false" ht="12.8" hidden="false" customHeight="false" outlineLevel="0" collapsed="false">
      <c r="A28" s="11" t="n">
        <v>5</v>
      </c>
      <c r="B28" s="11" t="n">
        <v>1</v>
      </c>
      <c r="C28" s="12" t="s">
        <v>91</v>
      </c>
      <c r="D28" s="12" t="n">
        <v>22698704717</v>
      </c>
      <c r="E28" s="13" t="s">
        <v>94</v>
      </c>
      <c r="F28" s="14" t="n">
        <v>5536</v>
      </c>
      <c r="G28" s="14" t="n">
        <v>40</v>
      </c>
      <c r="H28" s="15" t="n">
        <v>0.0072</v>
      </c>
      <c r="I28" s="14" t="n">
        <v>0</v>
      </c>
      <c r="J28" s="16" t="n">
        <v>0</v>
      </c>
      <c r="K28" s="15" t="n">
        <v>0</v>
      </c>
      <c r="L28" s="14" t="n">
        <v>0</v>
      </c>
      <c r="M28" s="17" t="n">
        <v>0</v>
      </c>
      <c r="N28" s="17" t="n">
        <v>3.34</v>
      </c>
      <c r="O28" s="15" t="n">
        <v>0</v>
      </c>
      <c r="P28" s="18" t="s">
        <v>24</v>
      </c>
      <c r="Q28" s="18" t="s">
        <v>93</v>
      </c>
      <c r="R28" s="18" t="n">
        <v>4</v>
      </c>
      <c r="S28" s="23" t="n">
        <v>0.347233227996713</v>
      </c>
      <c r="T28" s="20" t="n">
        <f aca="false">+S28*M28</f>
        <v>0</v>
      </c>
      <c r="U28" s="21" t="e">
        <f aca="false">+T28/M28</f>
        <v>#DIV/0!</v>
      </c>
      <c r="V28" s="22" t="e">
        <f aca="false">+T28*U28</f>
        <v>#DIV/0!</v>
      </c>
    </row>
    <row r="29" customFormat="false" ht="12.8" hidden="false" customHeight="false" outlineLevel="0" collapsed="false">
      <c r="A29" s="11" t="n">
        <v>50</v>
      </c>
      <c r="B29" s="11" t="n">
        <v>2</v>
      </c>
      <c r="C29" s="24" t="s">
        <v>91</v>
      </c>
      <c r="D29" s="24" t="n">
        <v>23092924234</v>
      </c>
      <c r="E29" s="25" t="s">
        <v>95</v>
      </c>
      <c r="F29" s="24" t="n">
        <v>17819</v>
      </c>
      <c r="G29" s="24" t="n">
        <v>339</v>
      </c>
      <c r="H29" s="24" t="s">
        <v>96</v>
      </c>
      <c r="I29" s="24" t="n">
        <v>35</v>
      </c>
      <c r="J29" s="24" t="n">
        <v>3.23</v>
      </c>
      <c r="K29" s="24" t="s">
        <v>97</v>
      </c>
      <c r="L29" s="24" t="n">
        <v>39</v>
      </c>
      <c r="M29" s="26" t="n">
        <v>1372.1</v>
      </c>
      <c r="N29" s="27" t="n">
        <v>113</v>
      </c>
      <c r="O29" s="24" t="s">
        <v>98</v>
      </c>
      <c r="P29" s="18" t="s">
        <v>24</v>
      </c>
      <c r="Q29" s="18" t="s">
        <v>93</v>
      </c>
      <c r="R29" s="18" t="n">
        <v>1</v>
      </c>
      <c r="S29" s="23" t="n">
        <v>0.383884791213606</v>
      </c>
      <c r="T29" s="20" t="n">
        <f aca="false">+S29*M29</f>
        <v>526.728322024189</v>
      </c>
      <c r="U29" s="21" t="n">
        <f aca="false">+T29/M29</f>
        <v>0.383884791213606</v>
      </c>
      <c r="V29" s="22" t="n">
        <f aca="false">+T29*U29</f>
        <v>202.202991926549</v>
      </c>
    </row>
    <row r="30" customFormat="false" ht="12.8" hidden="false" customHeight="false" outlineLevel="0" collapsed="false">
      <c r="A30" s="11" t="n">
        <v>73</v>
      </c>
      <c r="B30" s="11" t="n">
        <v>3</v>
      </c>
      <c r="C30" s="24" t="s">
        <v>91</v>
      </c>
      <c r="D30" s="28" t="n">
        <v>22629854054</v>
      </c>
      <c r="E30" s="29" t="s">
        <v>99</v>
      </c>
      <c r="F30" s="28" t="n">
        <v>19342</v>
      </c>
      <c r="G30" s="28" t="n">
        <v>429</v>
      </c>
      <c r="H30" s="28" t="s">
        <v>100</v>
      </c>
      <c r="I30" s="28" t="n">
        <v>55</v>
      </c>
      <c r="J30" s="28" t="n">
        <v>2.84</v>
      </c>
      <c r="K30" s="30" t="n">
        <v>0.1282</v>
      </c>
      <c r="L30" s="28" t="n">
        <v>58</v>
      </c>
      <c r="M30" s="31" t="n">
        <v>1907.25</v>
      </c>
      <c r="N30" s="32" t="n">
        <v>156.36</v>
      </c>
      <c r="O30" s="30" t="n">
        <v>0.082</v>
      </c>
      <c r="P30" s="18" t="s">
        <v>24</v>
      </c>
      <c r="Q30" s="18" t="s">
        <v>93</v>
      </c>
      <c r="R30" s="18" t="n">
        <v>1</v>
      </c>
      <c r="S30" s="23" t="n">
        <v>0.383884791213606</v>
      </c>
      <c r="T30" s="20" t="n">
        <f aca="false">+S30*M30</f>
        <v>732.164268042151</v>
      </c>
      <c r="U30" s="21" t="n">
        <f aca="false">+T30/M30</f>
        <v>0.383884791213606</v>
      </c>
      <c r="V30" s="22" t="n">
        <f aca="false">+T30*U30</f>
        <v>281.066727171424</v>
      </c>
    </row>
    <row r="31" customFormat="false" ht="12.8" hidden="false" customHeight="false" outlineLevel="0" collapsed="false">
      <c r="A31" s="11" t="n">
        <v>1</v>
      </c>
      <c r="B31" s="11" t="n">
        <v>1</v>
      </c>
      <c r="C31" s="12" t="s">
        <v>101</v>
      </c>
      <c r="D31" s="12" t="n">
        <v>22398484368</v>
      </c>
      <c r="E31" s="13" t="s">
        <v>102</v>
      </c>
      <c r="F31" s="14" t="n">
        <v>1302</v>
      </c>
      <c r="G31" s="14" t="n">
        <v>4</v>
      </c>
      <c r="H31" s="15" t="n">
        <v>0.0031</v>
      </c>
      <c r="I31" s="14" t="n">
        <v>1</v>
      </c>
      <c r="J31" s="16" t="n">
        <v>1.35</v>
      </c>
      <c r="K31" s="15" t="n">
        <v>0.25</v>
      </c>
      <c r="L31" s="14" t="n">
        <v>1</v>
      </c>
      <c r="M31" s="17" t="n">
        <v>77.9</v>
      </c>
      <c r="N31" s="17" t="n">
        <v>1.35</v>
      </c>
      <c r="O31" s="15" t="n">
        <v>0.0173</v>
      </c>
      <c r="P31" s="18" t="s">
        <v>24</v>
      </c>
      <c r="Q31" s="18" t="s">
        <v>103</v>
      </c>
      <c r="R31" s="18" t="n">
        <v>10</v>
      </c>
      <c r="S31" s="23" t="n">
        <v>0.413104757560901</v>
      </c>
      <c r="T31" s="20" t="n">
        <f aca="false">+S31*M31</f>
        <v>32.1808606139942</v>
      </c>
      <c r="U31" s="21" t="n">
        <f aca="false">+T31/M31</f>
        <v>0.413104757560901</v>
      </c>
      <c r="V31" s="22" t="n">
        <f aca="false">+T31*U31</f>
        <v>13.2940666220452</v>
      </c>
    </row>
    <row r="32" customFormat="false" ht="12.8" hidden="false" customHeight="false" outlineLevel="0" collapsed="false">
      <c r="A32" s="11" t="n">
        <v>2</v>
      </c>
      <c r="B32" s="11" t="n">
        <v>1</v>
      </c>
      <c r="C32" s="12" t="s">
        <v>101</v>
      </c>
      <c r="D32" s="12" t="n">
        <v>23697297381</v>
      </c>
      <c r="E32" s="13" t="s">
        <v>104</v>
      </c>
      <c r="F32" s="14" t="n">
        <v>33399</v>
      </c>
      <c r="G32" s="14" t="n">
        <v>653</v>
      </c>
      <c r="H32" s="15" t="n">
        <v>0.0196</v>
      </c>
      <c r="I32" s="14" t="n">
        <v>90</v>
      </c>
      <c r="J32" s="16" t="n">
        <v>3.07</v>
      </c>
      <c r="K32" s="15" t="n">
        <v>0.1378</v>
      </c>
      <c r="L32" s="14" t="n">
        <v>90</v>
      </c>
      <c r="M32" s="17" t="n">
        <v>3828.68</v>
      </c>
      <c r="N32" s="17" t="n">
        <v>276.51</v>
      </c>
      <c r="O32" s="15" t="n">
        <v>0.0722</v>
      </c>
      <c r="P32" s="18" t="s">
        <v>24</v>
      </c>
      <c r="Q32" s="18" t="s">
        <v>103</v>
      </c>
      <c r="R32" s="18" t="n">
        <v>2</v>
      </c>
      <c r="S32" s="23" t="n">
        <v>0.406917005542426</v>
      </c>
      <c r="T32" s="20" t="n">
        <f aca="false">+S32*M32</f>
        <v>1557.95500078018</v>
      </c>
      <c r="U32" s="21" t="n">
        <f aca="false">+T32/M32</f>
        <v>0.406917005542426</v>
      </c>
      <c r="V32" s="22" t="n">
        <f aca="false">+T32*U32</f>
        <v>633.958383687317</v>
      </c>
    </row>
    <row r="33" customFormat="false" ht="12.8" hidden="false" customHeight="false" outlineLevel="0" collapsed="false">
      <c r="A33" s="11" t="n">
        <v>3</v>
      </c>
      <c r="B33" s="11" t="n">
        <v>1</v>
      </c>
      <c r="C33" s="12" t="s">
        <v>101</v>
      </c>
      <c r="D33" s="12" t="n">
        <v>22694202713</v>
      </c>
      <c r="E33" s="13" t="s">
        <v>105</v>
      </c>
      <c r="F33" s="14" t="n">
        <v>21575</v>
      </c>
      <c r="G33" s="14" t="n">
        <v>525</v>
      </c>
      <c r="H33" s="15" t="n">
        <v>0.0243</v>
      </c>
      <c r="I33" s="14" t="n">
        <v>51</v>
      </c>
      <c r="J33" s="16" t="n">
        <v>2.6</v>
      </c>
      <c r="K33" s="15" t="n">
        <v>0.0971</v>
      </c>
      <c r="L33" s="14" t="n">
        <v>51</v>
      </c>
      <c r="M33" s="17" t="n">
        <v>1791.68</v>
      </c>
      <c r="N33" s="17" t="n">
        <v>132.68</v>
      </c>
      <c r="O33" s="15" t="n">
        <v>0.0741</v>
      </c>
      <c r="P33" s="18" t="s">
        <v>24</v>
      </c>
      <c r="Q33" s="18" t="s">
        <v>103</v>
      </c>
      <c r="R33" s="18" t="n">
        <v>2</v>
      </c>
      <c r="S33" s="23" t="n">
        <v>0.406917005542426</v>
      </c>
      <c r="T33" s="20" t="n">
        <f aca="false">+S33*M33</f>
        <v>729.065060490254</v>
      </c>
      <c r="U33" s="21" t="n">
        <f aca="false">+T33/M33</f>
        <v>0.406917005542426</v>
      </c>
      <c r="V33" s="22" t="n">
        <f aca="false">+T33*U33</f>
        <v>296.668971260302</v>
      </c>
    </row>
    <row r="34" customFormat="false" ht="12.8" hidden="false" customHeight="false" outlineLevel="0" collapsed="false">
      <c r="A34" s="11" t="n">
        <v>11</v>
      </c>
      <c r="B34" s="11" t="n">
        <v>1</v>
      </c>
      <c r="C34" s="12" t="s">
        <v>101</v>
      </c>
      <c r="D34" s="12" t="n">
        <v>23597556517</v>
      </c>
      <c r="E34" s="13" t="s">
        <v>106</v>
      </c>
      <c r="F34" s="14" t="n">
        <v>5422</v>
      </c>
      <c r="G34" s="14" t="n">
        <v>58</v>
      </c>
      <c r="H34" s="15" t="n">
        <v>0.0107</v>
      </c>
      <c r="I34" s="14" t="n">
        <v>7</v>
      </c>
      <c r="J34" s="16" t="n">
        <v>3.14</v>
      </c>
      <c r="K34" s="15" t="n">
        <v>0.1207</v>
      </c>
      <c r="L34" s="14" t="n">
        <v>8</v>
      </c>
      <c r="M34" s="17" t="n">
        <v>404.2</v>
      </c>
      <c r="N34" s="17" t="n">
        <v>21.95</v>
      </c>
      <c r="O34" s="15" t="n">
        <v>0.0543</v>
      </c>
      <c r="P34" s="18" t="s">
        <v>24</v>
      </c>
      <c r="Q34" s="18" t="s">
        <v>103</v>
      </c>
      <c r="R34" s="18" t="n">
        <v>1</v>
      </c>
      <c r="S34" s="23" t="n">
        <v>0.385177536868913</v>
      </c>
      <c r="T34" s="20" t="n">
        <f aca="false">+S34*M34</f>
        <v>155.688760402415</v>
      </c>
      <c r="U34" s="21" t="n">
        <f aca="false">+T34/M34</f>
        <v>0.385177536868913</v>
      </c>
      <c r="V34" s="22" t="n">
        <f aca="false">+T34*U34</f>
        <v>59.9678132499764</v>
      </c>
    </row>
    <row r="35" customFormat="false" ht="12.8" hidden="false" customHeight="false" outlineLevel="0" collapsed="false">
      <c r="A35" s="11" t="n">
        <v>20</v>
      </c>
      <c r="B35" s="11" t="n">
        <v>1</v>
      </c>
      <c r="C35" s="12" t="s">
        <v>101</v>
      </c>
      <c r="D35" s="12" t="n">
        <v>20997495267</v>
      </c>
      <c r="E35" s="13" t="s">
        <v>107</v>
      </c>
      <c r="F35" s="14" t="n">
        <v>30716</v>
      </c>
      <c r="G35" s="14" t="n">
        <v>478</v>
      </c>
      <c r="H35" s="15" t="n">
        <v>0.0156</v>
      </c>
      <c r="I35" s="14" t="n">
        <v>57</v>
      </c>
      <c r="J35" s="16" t="n">
        <v>2.76</v>
      </c>
      <c r="K35" s="15" t="n">
        <v>0.1192</v>
      </c>
      <c r="L35" s="14" t="n">
        <v>58</v>
      </c>
      <c r="M35" s="17" t="n">
        <v>2304.6</v>
      </c>
      <c r="N35" s="17" t="n">
        <v>157.25</v>
      </c>
      <c r="O35" s="15" t="n">
        <v>0.0682</v>
      </c>
      <c r="P35" s="18" t="s">
        <v>24</v>
      </c>
      <c r="Q35" s="18" t="s">
        <v>103</v>
      </c>
      <c r="R35" s="18" t="n">
        <v>2</v>
      </c>
      <c r="S35" s="23" t="n">
        <v>0.406917005542426</v>
      </c>
      <c r="T35" s="20" t="n">
        <f aca="false">+S35*M35</f>
        <v>937.780930973075</v>
      </c>
      <c r="U35" s="21" t="n">
        <f aca="false">+T35/M35</f>
        <v>0.406917005542426</v>
      </c>
      <c r="V35" s="22" t="n">
        <f aca="false">+T35*U35</f>
        <v>381.599008286352</v>
      </c>
    </row>
    <row r="36" customFormat="false" ht="12.8" hidden="false" customHeight="false" outlineLevel="0" collapsed="false">
      <c r="A36" s="11" t="n">
        <v>21</v>
      </c>
      <c r="B36" s="11" t="n">
        <v>1</v>
      </c>
      <c r="C36" s="12" t="s">
        <v>101</v>
      </c>
      <c r="D36" s="12" t="n">
        <v>20997495263</v>
      </c>
      <c r="E36" s="13" t="s">
        <v>108</v>
      </c>
      <c r="F36" s="14" t="n">
        <v>10484</v>
      </c>
      <c r="G36" s="14" t="n">
        <v>176</v>
      </c>
      <c r="H36" s="15" t="n">
        <v>0.0168</v>
      </c>
      <c r="I36" s="14" t="n">
        <v>21</v>
      </c>
      <c r="J36" s="16" t="n">
        <v>2.78</v>
      </c>
      <c r="K36" s="15" t="n">
        <v>0.1193</v>
      </c>
      <c r="L36" s="14" t="n">
        <v>21</v>
      </c>
      <c r="M36" s="17" t="n">
        <v>729.9</v>
      </c>
      <c r="N36" s="17" t="n">
        <v>58.43</v>
      </c>
      <c r="O36" s="15" t="n">
        <v>0.08</v>
      </c>
      <c r="P36" s="18" t="s">
        <v>24</v>
      </c>
      <c r="Q36" s="18" t="s">
        <v>103</v>
      </c>
      <c r="R36" s="18" t="n">
        <v>2</v>
      </c>
      <c r="S36" s="23" t="n">
        <v>0.406917005542426</v>
      </c>
      <c r="T36" s="20" t="n">
        <f aca="false">+S36*M36</f>
        <v>297.008722345417</v>
      </c>
      <c r="U36" s="21" t="n">
        <f aca="false">+T36/M36</f>
        <v>0.406917005542426</v>
      </c>
      <c r="V36" s="22" t="n">
        <f aca="false">+T36*U36</f>
        <v>120.857899916779</v>
      </c>
    </row>
    <row r="37" customFormat="false" ht="12.8" hidden="false" customHeight="false" outlineLevel="0" collapsed="false">
      <c r="A37" s="11" t="n">
        <v>25</v>
      </c>
      <c r="B37" s="11" t="n">
        <v>1</v>
      </c>
      <c r="C37" s="12" t="s">
        <v>101</v>
      </c>
      <c r="D37" s="12" t="n">
        <v>20997495265</v>
      </c>
      <c r="E37" s="13" t="s">
        <v>109</v>
      </c>
      <c r="F37" s="14" t="n">
        <v>43595</v>
      </c>
      <c r="G37" s="14" t="n">
        <v>665</v>
      </c>
      <c r="H37" s="15" t="n">
        <v>0.0153</v>
      </c>
      <c r="I37" s="14" t="n">
        <v>59</v>
      </c>
      <c r="J37" s="16" t="n">
        <v>5.04</v>
      </c>
      <c r="K37" s="15" t="n">
        <v>0.0887</v>
      </c>
      <c r="L37" s="14" t="n">
        <v>60</v>
      </c>
      <c r="M37" s="17" t="n">
        <v>4349</v>
      </c>
      <c r="N37" s="17" t="n">
        <v>297.24</v>
      </c>
      <c r="O37" s="15" t="n">
        <v>0.0683</v>
      </c>
      <c r="P37" s="18" t="s">
        <v>24</v>
      </c>
      <c r="Q37" s="18" t="s">
        <v>103</v>
      </c>
      <c r="R37" s="18" t="n">
        <v>4</v>
      </c>
      <c r="S37" s="23" t="n">
        <v>0.3760200072523</v>
      </c>
      <c r="T37" s="20" t="n">
        <f aca="false">+S37*M37</f>
        <v>1635.31101154026</v>
      </c>
      <c r="U37" s="21" t="n">
        <f aca="false">+T37/M37</f>
        <v>0.3760200072523</v>
      </c>
      <c r="V37" s="22" t="n">
        <f aca="false">+T37*U37</f>
        <v>614.909658419134</v>
      </c>
    </row>
    <row r="38" customFormat="false" ht="12.8" hidden="false" customHeight="false" outlineLevel="0" collapsed="false">
      <c r="A38" s="11" t="n">
        <v>39</v>
      </c>
      <c r="B38" s="11" t="n">
        <v>2</v>
      </c>
      <c r="C38" s="24" t="s">
        <v>101</v>
      </c>
      <c r="D38" s="24" t="n">
        <v>23992823283</v>
      </c>
      <c r="E38" s="25" t="s">
        <v>110</v>
      </c>
      <c r="F38" s="24" t="n">
        <v>158621</v>
      </c>
      <c r="G38" s="24" t="n">
        <v>3641</v>
      </c>
      <c r="H38" s="24" t="s">
        <v>111</v>
      </c>
      <c r="I38" s="24" t="n">
        <v>565</v>
      </c>
      <c r="J38" s="24" t="n">
        <v>2.25</v>
      </c>
      <c r="K38" s="24" t="s">
        <v>112</v>
      </c>
      <c r="L38" s="24" t="n">
        <v>575</v>
      </c>
      <c r="M38" s="27" t="n">
        <v>18534.15</v>
      </c>
      <c r="N38" s="27" t="n">
        <v>1269.58</v>
      </c>
      <c r="O38" s="24" t="s">
        <v>113</v>
      </c>
      <c r="P38" s="18" t="s">
        <v>24</v>
      </c>
      <c r="Q38" s="18" t="s">
        <v>103</v>
      </c>
      <c r="R38" s="18" t="n">
        <v>2</v>
      </c>
      <c r="S38" s="23" t="n">
        <v>0.406917005542426</v>
      </c>
      <c r="T38" s="20" t="n">
        <f aca="false">+S38*M38</f>
        <v>7541.86081827416</v>
      </c>
      <c r="U38" s="21" t="n">
        <f aca="false">+T38/M38</f>
        <v>0.406917005542426</v>
      </c>
      <c r="V38" s="22" t="n">
        <f aca="false">+T38*U38</f>
        <v>3068.91142038987</v>
      </c>
    </row>
    <row r="39" customFormat="false" ht="12.8" hidden="false" customHeight="false" outlineLevel="0" collapsed="false">
      <c r="A39" s="11" t="n">
        <v>41</v>
      </c>
      <c r="B39" s="11" t="n">
        <v>2</v>
      </c>
      <c r="C39" s="24" t="s">
        <v>101</v>
      </c>
      <c r="D39" s="24" t="n">
        <v>22893234695</v>
      </c>
      <c r="E39" s="25" t="s">
        <v>114</v>
      </c>
      <c r="F39" s="24" t="n">
        <v>47196</v>
      </c>
      <c r="G39" s="24" t="n">
        <v>1130</v>
      </c>
      <c r="H39" s="24" t="s">
        <v>115</v>
      </c>
      <c r="I39" s="24" t="n">
        <v>119</v>
      </c>
      <c r="J39" s="24" t="n">
        <v>2.74</v>
      </c>
      <c r="K39" s="24" t="s">
        <v>116</v>
      </c>
      <c r="L39" s="24" t="n">
        <v>128</v>
      </c>
      <c r="M39" s="26" t="n">
        <v>3979.2</v>
      </c>
      <c r="N39" s="27" t="n">
        <v>325.83</v>
      </c>
      <c r="O39" s="24" t="s">
        <v>117</v>
      </c>
      <c r="P39" s="18" t="s">
        <v>24</v>
      </c>
      <c r="Q39" s="18" t="s">
        <v>103</v>
      </c>
      <c r="R39" s="18" t="n">
        <v>1</v>
      </c>
      <c r="S39" s="23" t="n">
        <v>0.385177536868913</v>
      </c>
      <c r="T39" s="20" t="n">
        <f aca="false">+S39*M39</f>
        <v>1532.69845470878</v>
      </c>
      <c r="U39" s="21" t="n">
        <f aca="false">+T39/M39</f>
        <v>0.385177536868913</v>
      </c>
      <c r="V39" s="22" t="n">
        <f aca="false">+T39*U39</f>
        <v>590.361015547516</v>
      </c>
    </row>
    <row r="40" customFormat="false" ht="12.8" hidden="false" customHeight="false" outlineLevel="0" collapsed="false">
      <c r="A40" s="11" t="n">
        <v>43</v>
      </c>
      <c r="B40" s="11" t="n">
        <v>2</v>
      </c>
      <c r="C40" s="24" t="s">
        <v>101</v>
      </c>
      <c r="D40" s="24" t="n">
        <v>23997480409</v>
      </c>
      <c r="E40" s="25" t="s">
        <v>118</v>
      </c>
      <c r="F40" s="24" t="n">
        <v>35186</v>
      </c>
      <c r="G40" s="24" t="n">
        <v>725</v>
      </c>
      <c r="H40" s="24" t="s">
        <v>119</v>
      </c>
      <c r="I40" s="24" t="n">
        <v>110</v>
      </c>
      <c r="J40" s="24" t="n">
        <v>2.37</v>
      </c>
      <c r="K40" s="24" t="s">
        <v>120</v>
      </c>
      <c r="L40" s="24" t="n">
        <v>111</v>
      </c>
      <c r="M40" s="26" t="n">
        <v>3825.21</v>
      </c>
      <c r="N40" s="27" t="n">
        <v>260.22</v>
      </c>
      <c r="O40" s="24" t="s">
        <v>121</v>
      </c>
      <c r="P40" s="18" t="s">
        <v>24</v>
      </c>
      <c r="Q40" s="18" t="s">
        <v>103</v>
      </c>
      <c r="R40" s="18" t="n">
        <v>1</v>
      </c>
      <c r="S40" s="23" t="n">
        <v>0.385177536868913</v>
      </c>
      <c r="T40" s="20" t="n">
        <f aca="false">+S40*M40</f>
        <v>1473.38496580633</v>
      </c>
      <c r="U40" s="21" t="n">
        <f aca="false">+T40/M40</f>
        <v>0.385177536868913</v>
      </c>
      <c r="V40" s="22" t="n">
        <f aca="false">+T40*U40</f>
        <v>567.514791988971</v>
      </c>
    </row>
    <row r="41" customFormat="false" ht="12.8" hidden="false" customHeight="false" outlineLevel="0" collapsed="false">
      <c r="A41" s="11" t="n">
        <v>45</v>
      </c>
      <c r="B41" s="11" t="n">
        <v>2</v>
      </c>
      <c r="C41" s="24" t="s">
        <v>101</v>
      </c>
      <c r="D41" s="24" t="n">
        <v>19699242244</v>
      </c>
      <c r="E41" s="25" t="s">
        <v>122</v>
      </c>
      <c r="F41" s="24" t="n">
        <v>34214</v>
      </c>
      <c r="G41" s="24" t="n">
        <v>571</v>
      </c>
      <c r="H41" s="24" t="s">
        <v>123</v>
      </c>
      <c r="I41" s="24" t="n">
        <v>36</v>
      </c>
      <c r="J41" s="24" t="n">
        <v>9.84</v>
      </c>
      <c r="K41" s="24" t="s">
        <v>124</v>
      </c>
      <c r="L41" s="24" t="n">
        <v>36</v>
      </c>
      <c r="M41" s="26" t="n">
        <v>4601.24</v>
      </c>
      <c r="N41" s="27" t="n">
        <v>354.31</v>
      </c>
      <c r="O41" s="24" t="s">
        <v>125</v>
      </c>
      <c r="P41" s="18" t="s">
        <v>24</v>
      </c>
      <c r="Q41" s="18" t="s">
        <v>103</v>
      </c>
      <c r="R41" s="18" t="n">
        <v>10</v>
      </c>
      <c r="S41" s="23" t="n">
        <v>0.413104757560901</v>
      </c>
      <c r="T41" s="20" t="n">
        <f aca="false">+S41*M41</f>
        <v>1900.79413467952</v>
      </c>
      <c r="U41" s="21" t="n">
        <f aca="false">+T41/M41</f>
        <v>0.413104757560901</v>
      </c>
      <c r="V41" s="22" t="n">
        <f aca="false">+T41*U41</f>
        <v>785.227100179965</v>
      </c>
    </row>
    <row r="42" customFormat="false" ht="12.8" hidden="false" customHeight="false" outlineLevel="0" collapsed="false">
      <c r="A42" s="11" t="n">
        <v>46</v>
      </c>
      <c r="B42" s="11" t="n">
        <v>2</v>
      </c>
      <c r="C42" s="24" t="s">
        <v>101</v>
      </c>
      <c r="D42" s="24" t="n">
        <v>22792669933</v>
      </c>
      <c r="E42" s="25" t="s">
        <v>126</v>
      </c>
      <c r="F42" s="24" t="n">
        <v>29554</v>
      </c>
      <c r="G42" s="24" t="n">
        <v>664</v>
      </c>
      <c r="H42" s="24" t="s">
        <v>127</v>
      </c>
      <c r="I42" s="24" t="n">
        <v>100</v>
      </c>
      <c r="J42" s="24" t="n">
        <v>1.72</v>
      </c>
      <c r="K42" s="24" t="s">
        <v>128</v>
      </c>
      <c r="L42" s="24" t="n">
        <v>104</v>
      </c>
      <c r="M42" s="26" t="n">
        <v>2377.81</v>
      </c>
      <c r="N42" s="27" t="n">
        <v>172.23</v>
      </c>
      <c r="O42" s="24" t="s">
        <v>49</v>
      </c>
      <c r="P42" s="18" t="s">
        <v>24</v>
      </c>
      <c r="Q42" s="18" t="s">
        <v>103</v>
      </c>
      <c r="R42" s="18" t="n">
        <v>1</v>
      </c>
      <c r="S42" s="23" t="n">
        <v>0.385177536868913</v>
      </c>
      <c r="T42" s="20" t="n">
        <f aca="false">+S42*M42</f>
        <v>915.878998942269</v>
      </c>
      <c r="U42" s="21" t="n">
        <f aca="false">+T42/M42</f>
        <v>0.385177536868913</v>
      </c>
      <c r="V42" s="22" t="n">
        <f aca="false">+T42*U42</f>
        <v>352.776016882549</v>
      </c>
    </row>
    <row r="43" customFormat="false" ht="12.8" hidden="false" customHeight="false" outlineLevel="0" collapsed="false">
      <c r="A43" s="11" t="n">
        <v>47</v>
      </c>
      <c r="B43" s="11" t="n">
        <v>2</v>
      </c>
      <c r="C43" s="24" t="s">
        <v>101</v>
      </c>
      <c r="D43" s="24" t="n">
        <v>22592838545</v>
      </c>
      <c r="E43" s="25" t="s">
        <v>129</v>
      </c>
      <c r="F43" s="24" t="n">
        <v>25125</v>
      </c>
      <c r="G43" s="24" t="n">
        <v>409</v>
      </c>
      <c r="H43" s="24" t="s">
        <v>130</v>
      </c>
      <c r="I43" s="24" t="n">
        <v>41</v>
      </c>
      <c r="J43" s="24" t="n">
        <v>4.16</v>
      </c>
      <c r="K43" s="24" t="s">
        <v>131</v>
      </c>
      <c r="L43" s="24" t="n">
        <v>41</v>
      </c>
      <c r="M43" s="26" t="n">
        <v>2363.39</v>
      </c>
      <c r="N43" s="27" t="n">
        <v>170.57</v>
      </c>
      <c r="O43" s="24" t="s">
        <v>132</v>
      </c>
      <c r="P43" s="18" t="s">
        <v>24</v>
      </c>
      <c r="Q43" s="18" t="s">
        <v>103</v>
      </c>
      <c r="R43" s="18" t="n">
        <v>4</v>
      </c>
      <c r="S43" s="23" t="n">
        <v>0.3760200072523</v>
      </c>
      <c r="T43" s="20" t="n">
        <f aca="false">+S43*M43</f>
        <v>888.681924940014</v>
      </c>
      <c r="U43" s="21" t="n">
        <f aca="false">+T43/M43</f>
        <v>0.3760200072523</v>
      </c>
      <c r="V43" s="22" t="n">
        <f aca="false">+T43*U43</f>
        <v>334.162183860933</v>
      </c>
    </row>
    <row r="44" customFormat="false" ht="12.8" hidden="false" customHeight="false" outlineLevel="0" collapsed="false">
      <c r="A44" s="11" t="n">
        <v>48</v>
      </c>
      <c r="B44" s="11" t="n">
        <v>2</v>
      </c>
      <c r="C44" s="24" t="s">
        <v>101</v>
      </c>
      <c r="D44" s="24" t="n">
        <v>22792781219</v>
      </c>
      <c r="E44" s="25" t="s">
        <v>133</v>
      </c>
      <c r="F44" s="24" t="n">
        <v>21841</v>
      </c>
      <c r="G44" s="24" t="n">
        <v>339</v>
      </c>
      <c r="H44" s="24" t="s">
        <v>134</v>
      </c>
      <c r="I44" s="24" t="n">
        <v>18</v>
      </c>
      <c r="J44" s="24" t="n">
        <v>4.54</v>
      </c>
      <c r="K44" s="24" t="s">
        <v>135</v>
      </c>
      <c r="L44" s="24" t="n">
        <v>19</v>
      </c>
      <c r="M44" s="26" t="n">
        <v>771.55</v>
      </c>
      <c r="N44" s="27" t="n">
        <v>81.78</v>
      </c>
      <c r="O44" s="24" t="s">
        <v>136</v>
      </c>
      <c r="P44" s="18" t="s">
        <v>24</v>
      </c>
      <c r="Q44" s="18" t="s">
        <v>103</v>
      </c>
      <c r="R44" s="18" t="n">
        <v>2</v>
      </c>
      <c r="S44" s="23" t="n">
        <v>0.406917005542426</v>
      </c>
      <c r="T44" s="20" t="n">
        <f aca="false">+S44*M44</f>
        <v>313.956815626259</v>
      </c>
      <c r="U44" s="21" t="n">
        <f aca="false">+T44/M44</f>
        <v>0.406917005542426</v>
      </c>
      <c r="V44" s="22" t="n">
        <f aca="false">+T44*U44</f>
        <v>127.754367284273</v>
      </c>
    </row>
    <row r="45" customFormat="false" ht="12.8" hidden="false" customHeight="false" outlineLevel="0" collapsed="false">
      <c r="A45" s="11" t="n">
        <v>56</v>
      </c>
      <c r="B45" s="11" t="n">
        <v>2</v>
      </c>
      <c r="C45" s="24" t="s">
        <v>101</v>
      </c>
      <c r="D45" s="24" t="n">
        <v>22697277401</v>
      </c>
      <c r="E45" s="25" t="s">
        <v>137</v>
      </c>
      <c r="F45" s="24" t="n">
        <v>11619</v>
      </c>
      <c r="G45" s="24" t="n">
        <v>165</v>
      </c>
      <c r="H45" s="24" t="s">
        <v>138</v>
      </c>
      <c r="I45" s="24" t="n">
        <v>19</v>
      </c>
      <c r="J45" s="24" t="n">
        <v>3.04</v>
      </c>
      <c r="K45" s="24" t="s">
        <v>139</v>
      </c>
      <c r="L45" s="24" t="n">
        <v>19</v>
      </c>
      <c r="M45" s="26" t="n">
        <v>624.1</v>
      </c>
      <c r="N45" s="27" t="n">
        <v>57.8</v>
      </c>
      <c r="O45" s="24" t="s">
        <v>140</v>
      </c>
      <c r="P45" s="18" t="s">
        <v>24</v>
      </c>
      <c r="Q45" s="18" t="s">
        <v>103</v>
      </c>
      <c r="R45" s="18" t="n">
        <v>2</v>
      </c>
      <c r="S45" s="23" t="n">
        <v>0.406917005542426</v>
      </c>
      <c r="T45" s="20" t="n">
        <f aca="false">+S45*M45</f>
        <v>253.956903159028</v>
      </c>
      <c r="U45" s="21" t="n">
        <f aca="false">+T45/M45</f>
        <v>0.406917005542426</v>
      </c>
      <c r="V45" s="22" t="n">
        <f aca="false">+T45*U45</f>
        <v>103.3393825703</v>
      </c>
    </row>
    <row r="46" customFormat="false" ht="12.8" hidden="false" customHeight="false" outlineLevel="0" collapsed="false">
      <c r="A46" s="11" t="n">
        <v>59</v>
      </c>
      <c r="B46" s="11" t="n">
        <v>2</v>
      </c>
      <c r="C46" s="24" t="s">
        <v>101</v>
      </c>
      <c r="D46" s="24" t="n">
        <v>18697607826</v>
      </c>
      <c r="E46" s="25" t="s">
        <v>141</v>
      </c>
      <c r="F46" s="24" t="n">
        <v>9751</v>
      </c>
      <c r="G46" s="24" t="n">
        <v>94</v>
      </c>
      <c r="H46" s="24" t="s">
        <v>142</v>
      </c>
      <c r="I46" s="24" t="n">
        <v>5</v>
      </c>
      <c r="J46" s="24" t="n">
        <v>6.05</v>
      </c>
      <c r="K46" s="24" t="s">
        <v>143</v>
      </c>
      <c r="L46" s="24" t="n">
        <v>5</v>
      </c>
      <c r="M46" s="26" t="n">
        <v>299.5</v>
      </c>
      <c r="N46" s="27" t="n">
        <v>30.27</v>
      </c>
      <c r="O46" s="24" t="s">
        <v>144</v>
      </c>
      <c r="P46" s="18" t="s">
        <v>24</v>
      </c>
      <c r="Q46" s="18" t="s">
        <v>103</v>
      </c>
      <c r="R46" s="18" t="n">
        <v>2</v>
      </c>
      <c r="S46" s="23" t="n">
        <v>0.406917005542426</v>
      </c>
      <c r="T46" s="20" t="n">
        <f aca="false">+S46*M46</f>
        <v>121.871643159957</v>
      </c>
      <c r="U46" s="21" t="n">
        <f aca="false">+T46/M46</f>
        <v>0.406917005542426</v>
      </c>
      <c r="V46" s="22" t="n">
        <f aca="false">+T46*U46</f>
        <v>49.5916440951846</v>
      </c>
    </row>
    <row r="47" customFormat="false" ht="12.8" hidden="false" customHeight="false" outlineLevel="0" collapsed="false">
      <c r="A47" s="11" t="n">
        <v>60</v>
      </c>
      <c r="B47" s="11" t="n">
        <v>2</v>
      </c>
      <c r="C47" s="24" t="s">
        <v>101</v>
      </c>
      <c r="D47" s="24" t="n">
        <v>23898758222</v>
      </c>
      <c r="E47" s="25" t="s">
        <v>145</v>
      </c>
      <c r="F47" s="24" t="n">
        <v>8987</v>
      </c>
      <c r="G47" s="24" t="n">
        <v>122</v>
      </c>
      <c r="H47" s="24" t="s">
        <v>146</v>
      </c>
      <c r="I47" s="24" t="n">
        <v>1</v>
      </c>
      <c r="J47" s="24" t="n">
        <v>47.17</v>
      </c>
      <c r="K47" s="24" t="s">
        <v>147</v>
      </c>
      <c r="L47" s="24" t="n">
        <v>1</v>
      </c>
      <c r="M47" s="26" t="n">
        <v>68.9</v>
      </c>
      <c r="N47" s="27" t="n">
        <v>47.17</v>
      </c>
      <c r="O47" s="24" t="s">
        <v>148</v>
      </c>
      <c r="P47" s="18" t="s">
        <v>24</v>
      </c>
      <c r="Q47" s="18" t="s">
        <v>103</v>
      </c>
      <c r="R47" s="18" t="n">
        <v>2</v>
      </c>
      <c r="S47" s="23" t="n">
        <v>0.406917005542426</v>
      </c>
      <c r="T47" s="20" t="n">
        <f aca="false">+S47*M47</f>
        <v>28.0365816818731</v>
      </c>
      <c r="U47" s="21" t="n">
        <f aca="false">+T47/M47</f>
        <v>0.406917005542426</v>
      </c>
      <c r="V47" s="22" t="n">
        <f aca="false">+T47*U47</f>
        <v>11.4085618636335</v>
      </c>
    </row>
    <row r="48" customFormat="false" ht="12.8" hidden="false" customHeight="false" outlineLevel="0" collapsed="false">
      <c r="A48" s="11" t="n">
        <v>61</v>
      </c>
      <c r="B48" s="11" t="n">
        <v>2</v>
      </c>
      <c r="C48" s="24" t="s">
        <v>101</v>
      </c>
      <c r="D48" s="24" t="n">
        <v>19897609772</v>
      </c>
      <c r="E48" s="25" t="s">
        <v>149</v>
      </c>
      <c r="F48" s="24" t="n">
        <v>8250</v>
      </c>
      <c r="G48" s="24" t="n">
        <v>79</v>
      </c>
      <c r="H48" s="24" t="s">
        <v>142</v>
      </c>
      <c r="I48" s="24" t="n">
        <v>1</v>
      </c>
      <c r="J48" s="24" t="n">
        <v>12.79</v>
      </c>
      <c r="K48" s="24" t="s">
        <v>150</v>
      </c>
      <c r="L48" s="24" t="n">
        <v>1</v>
      </c>
      <c r="M48" s="26" t="n">
        <v>59.9</v>
      </c>
      <c r="N48" s="27" t="n">
        <v>12.79</v>
      </c>
      <c r="O48" s="24" t="s">
        <v>151</v>
      </c>
      <c r="P48" s="18" t="s">
        <v>24</v>
      </c>
      <c r="Q48" s="18" t="s">
        <v>103</v>
      </c>
      <c r="R48" s="18" t="n">
        <v>2</v>
      </c>
      <c r="S48" s="23" t="n">
        <v>0.406917005542426</v>
      </c>
      <c r="T48" s="20" t="n">
        <f aca="false">+S48*M48</f>
        <v>24.3743286319913</v>
      </c>
      <c r="U48" s="21" t="n">
        <f aca="false">+T48/M48</f>
        <v>0.406917005542426</v>
      </c>
      <c r="V48" s="22" t="n">
        <f aca="false">+T48*U48</f>
        <v>9.91832881903692</v>
      </c>
    </row>
    <row r="49" customFormat="false" ht="12.8" hidden="false" customHeight="false" outlineLevel="0" collapsed="false">
      <c r="A49" s="11" t="n">
        <v>67</v>
      </c>
      <c r="B49" s="11" t="n">
        <v>2</v>
      </c>
      <c r="C49" s="24" t="s">
        <v>101</v>
      </c>
      <c r="D49" s="24" t="n">
        <v>23792775950</v>
      </c>
      <c r="E49" s="25" t="s">
        <v>152</v>
      </c>
      <c r="F49" s="24" t="n">
        <v>5318</v>
      </c>
      <c r="G49" s="24" t="n">
        <v>28</v>
      </c>
      <c r="H49" s="24" t="s">
        <v>153</v>
      </c>
      <c r="I49" s="24" t="n">
        <v>1</v>
      </c>
      <c r="J49" s="24" t="n">
        <v>13.38</v>
      </c>
      <c r="K49" s="24" t="s">
        <v>154</v>
      </c>
      <c r="L49" s="24" t="n">
        <v>1</v>
      </c>
      <c r="M49" s="26" t="n">
        <v>85.9</v>
      </c>
      <c r="N49" s="27" t="n">
        <v>13.38</v>
      </c>
      <c r="O49" s="24" t="s">
        <v>155</v>
      </c>
      <c r="P49" s="18" t="s">
        <v>24</v>
      </c>
      <c r="Q49" s="18" t="s">
        <v>103</v>
      </c>
      <c r="R49" s="18" t="n">
        <v>4</v>
      </c>
      <c r="S49" s="23" t="n">
        <v>0.3760200072523</v>
      </c>
      <c r="T49" s="20" t="n">
        <f aca="false">+S49*M49</f>
        <v>32.3001186229726</v>
      </c>
      <c r="U49" s="21" t="n">
        <f aca="false">+T49/M49</f>
        <v>0.376020007252301</v>
      </c>
      <c r="V49" s="22" t="n">
        <f aca="false">+T49*U49</f>
        <v>12.1454908388603</v>
      </c>
    </row>
    <row r="50" customFormat="false" ht="12.8" hidden="false" customHeight="false" outlineLevel="0" collapsed="false">
      <c r="A50" s="11" t="n">
        <v>79</v>
      </c>
      <c r="B50" s="11" t="n">
        <v>3</v>
      </c>
      <c r="C50" s="24" t="s">
        <v>101</v>
      </c>
      <c r="D50" s="28" t="n">
        <v>22792693512</v>
      </c>
      <c r="E50" s="29" t="s">
        <v>156</v>
      </c>
      <c r="F50" s="28" t="n">
        <v>11470</v>
      </c>
      <c r="G50" s="28" t="n">
        <v>246</v>
      </c>
      <c r="H50" s="28" t="s">
        <v>157</v>
      </c>
      <c r="I50" s="28" t="n">
        <v>20</v>
      </c>
      <c r="J50" s="28" t="n">
        <v>3.64</v>
      </c>
      <c r="K50" s="30" t="n">
        <v>0.0813</v>
      </c>
      <c r="L50" s="28" t="n">
        <v>20</v>
      </c>
      <c r="M50" s="31" t="n">
        <v>766.6</v>
      </c>
      <c r="N50" s="32" t="n">
        <v>72.8</v>
      </c>
      <c r="O50" s="30" t="n">
        <v>0.095</v>
      </c>
      <c r="P50" s="18" t="s">
        <v>24</v>
      </c>
      <c r="Q50" s="18" t="s">
        <v>103</v>
      </c>
      <c r="R50" s="18" t="n">
        <v>2</v>
      </c>
      <c r="S50" s="23" t="n">
        <v>0.406917005542426</v>
      </c>
      <c r="T50" s="20" t="n">
        <f aca="false">+S50*M50</f>
        <v>311.942576448824</v>
      </c>
      <c r="U50" s="21" t="n">
        <f aca="false">+T50/M50</f>
        <v>0.406917005542426</v>
      </c>
      <c r="V50" s="22" t="n">
        <f aca="false">+T50*U50</f>
        <v>126.934739109745</v>
      </c>
    </row>
    <row r="51" customFormat="false" ht="12.8" hidden="false" customHeight="false" outlineLevel="0" collapsed="false">
      <c r="A51" s="11" t="n">
        <v>81</v>
      </c>
      <c r="B51" s="11" t="n">
        <v>3</v>
      </c>
      <c r="C51" s="24" t="s">
        <v>101</v>
      </c>
      <c r="D51" s="28" t="n">
        <v>23829845447</v>
      </c>
      <c r="E51" s="29" t="s">
        <v>158</v>
      </c>
      <c r="F51" s="28" t="n">
        <v>41107</v>
      </c>
      <c r="G51" s="28" t="n">
        <v>826</v>
      </c>
      <c r="H51" s="28" t="s">
        <v>159</v>
      </c>
      <c r="I51" s="28" t="n">
        <v>108</v>
      </c>
      <c r="J51" s="28" t="n">
        <v>3.41</v>
      </c>
      <c r="K51" s="30" t="n">
        <v>0.1308</v>
      </c>
      <c r="L51" s="28" t="n">
        <v>109</v>
      </c>
      <c r="M51" s="31" t="n">
        <v>3750.68</v>
      </c>
      <c r="N51" s="32" t="n">
        <v>368.51</v>
      </c>
      <c r="O51" s="30" t="n">
        <v>0.0983</v>
      </c>
      <c r="P51" s="18" t="s">
        <v>24</v>
      </c>
      <c r="Q51" s="18" t="s">
        <v>103</v>
      </c>
      <c r="R51" s="18" t="n">
        <v>2</v>
      </c>
      <c r="S51" s="23" t="n">
        <v>0.406917005542426</v>
      </c>
      <c r="T51" s="20" t="n">
        <f aca="false">+S51*M51</f>
        <v>1526.21547434787</v>
      </c>
      <c r="U51" s="21" t="n">
        <f aca="false">+T51/M51</f>
        <v>0.406917005542426</v>
      </c>
      <c r="V51" s="22" t="n">
        <f aca="false">+T51*U51</f>
        <v>621.043030634147</v>
      </c>
    </row>
    <row r="52" customFormat="false" ht="12.8" hidden="false" customHeight="false" outlineLevel="0" collapsed="false">
      <c r="A52" s="11" t="n">
        <v>82</v>
      </c>
      <c r="B52" s="11" t="n">
        <v>3</v>
      </c>
      <c r="C52" s="24" t="s">
        <v>101</v>
      </c>
      <c r="D52" s="28" t="n">
        <v>22792693513</v>
      </c>
      <c r="E52" s="29" t="s">
        <v>160</v>
      </c>
      <c r="F52" s="28" t="n">
        <v>10457</v>
      </c>
      <c r="G52" s="28" t="n">
        <v>203</v>
      </c>
      <c r="H52" s="28" t="s">
        <v>161</v>
      </c>
      <c r="I52" s="28" t="n">
        <v>6</v>
      </c>
      <c r="J52" s="28" t="n">
        <v>4.02</v>
      </c>
      <c r="K52" s="30" t="n">
        <v>0.0296</v>
      </c>
      <c r="L52" s="28" t="n">
        <v>6</v>
      </c>
      <c r="M52" s="31" t="n">
        <v>221.4</v>
      </c>
      <c r="N52" s="32" t="n">
        <v>24.14</v>
      </c>
      <c r="O52" s="30" t="n">
        <v>0.1091</v>
      </c>
      <c r="P52" s="18" t="s">
        <v>24</v>
      </c>
      <c r="Q52" s="18" t="s">
        <v>103</v>
      </c>
      <c r="R52" s="18" t="n">
        <v>2</v>
      </c>
      <c r="S52" s="23" t="n">
        <v>0.406917005542426</v>
      </c>
      <c r="T52" s="20" t="n">
        <f aca="false">+S52*M52</f>
        <v>90.0914250270931</v>
      </c>
      <c r="U52" s="21" t="n">
        <f aca="false">+T52/M52</f>
        <v>0.406917005542426</v>
      </c>
      <c r="V52" s="22" t="n">
        <f aca="false">+T52*U52</f>
        <v>36.6597328970747</v>
      </c>
    </row>
    <row r="53" customFormat="false" ht="12.8" hidden="false" customHeight="false" outlineLevel="0" collapsed="false">
      <c r="A53" s="11" t="n">
        <v>84</v>
      </c>
      <c r="B53" s="11" t="n">
        <v>3</v>
      </c>
      <c r="C53" s="24" t="s">
        <v>101</v>
      </c>
      <c r="D53" s="28" t="n">
        <v>22492098258</v>
      </c>
      <c r="E53" s="29" t="s">
        <v>162</v>
      </c>
      <c r="F53" s="28" t="n">
        <v>16293</v>
      </c>
      <c r="G53" s="28" t="n">
        <v>253</v>
      </c>
      <c r="H53" s="28" t="s">
        <v>134</v>
      </c>
      <c r="I53" s="28" t="n">
        <v>23</v>
      </c>
      <c r="J53" s="28" t="n">
        <v>5.5</v>
      </c>
      <c r="K53" s="30" t="n">
        <v>0.0909</v>
      </c>
      <c r="L53" s="28" t="n">
        <v>24</v>
      </c>
      <c r="M53" s="31" t="n">
        <v>1370.66</v>
      </c>
      <c r="N53" s="32" t="n">
        <v>126.58</v>
      </c>
      <c r="O53" s="30" t="n">
        <v>0.0924</v>
      </c>
      <c r="P53" s="18" t="s">
        <v>24</v>
      </c>
      <c r="Q53" s="18" t="s">
        <v>103</v>
      </c>
      <c r="R53" s="18" t="n">
        <v>4</v>
      </c>
      <c r="S53" s="23" t="n">
        <v>0.3760200072523</v>
      </c>
      <c r="T53" s="20" t="n">
        <f aca="false">+S53*M53</f>
        <v>515.395583140438</v>
      </c>
      <c r="U53" s="21" t="n">
        <f aca="false">+T53/M53</f>
        <v>0.3760200072523</v>
      </c>
      <c r="V53" s="22" t="n">
        <f aca="false">+T53*U53</f>
        <v>193.799050910271</v>
      </c>
    </row>
    <row r="54" customFormat="false" ht="12.8" hidden="false" customHeight="false" outlineLevel="0" collapsed="false">
      <c r="A54" s="11" t="n">
        <v>86</v>
      </c>
      <c r="B54" s="11" t="n">
        <v>3</v>
      </c>
      <c r="C54" s="24" t="s">
        <v>101</v>
      </c>
      <c r="D54" s="28" t="n">
        <v>23497184477</v>
      </c>
      <c r="E54" s="29" t="s">
        <v>163</v>
      </c>
      <c r="F54" s="28" t="n">
        <v>112173</v>
      </c>
      <c r="G54" s="28" t="n">
        <v>2219</v>
      </c>
      <c r="H54" s="28" t="s">
        <v>164</v>
      </c>
      <c r="I54" s="28" t="n">
        <v>280</v>
      </c>
      <c r="J54" s="28" t="n">
        <v>4.34</v>
      </c>
      <c r="K54" s="30" t="n">
        <v>0.1262</v>
      </c>
      <c r="L54" s="28" t="n">
        <v>291</v>
      </c>
      <c r="M54" s="31" t="n">
        <v>15959.34</v>
      </c>
      <c r="N54" s="32" t="n">
        <v>1213.83</v>
      </c>
      <c r="O54" s="30" t="n">
        <v>0.0761</v>
      </c>
      <c r="P54" s="18" t="s">
        <v>24</v>
      </c>
      <c r="Q54" s="18" t="s">
        <v>103</v>
      </c>
      <c r="R54" s="18" t="n">
        <v>4</v>
      </c>
      <c r="S54" s="23" t="n">
        <v>0.3760200072523</v>
      </c>
      <c r="T54" s="20" t="n">
        <f aca="false">+S54*M54</f>
        <v>6001.03114254193</v>
      </c>
      <c r="U54" s="21" t="n">
        <f aca="false">+T54/M54</f>
        <v>0.3760200072523</v>
      </c>
      <c r="V54" s="22" t="n">
        <f aca="false">+T54*U54</f>
        <v>2256.5077737399</v>
      </c>
    </row>
    <row r="55" customFormat="false" ht="12.8" hidden="false" customHeight="false" outlineLevel="0" collapsed="false">
      <c r="A55" s="11" t="n">
        <v>87</v>
      </c>
      <c r="B55" s="11" t="n">
        <v>3</v>
      </c>
      <c r="C55" s="24" t="s">
        <v>101</v>
      </c>
      <c r="D55" s="28" t="n">
        <v>18799097725</v>
      </c>
      <c r="E55" s="29" t="s">
        <v>165</v>
      </c>
      <c r="F55" s="28" t="n">
        <v>14688</v>
      </c>
      <c r="G55" s="28" t="n">
        <v>243</v>
      </c>
      <c r="H55" s="28" t="s">
        <v>166</v>
      </c>
      <c r="I55" s="28" t="n">
        <v>27</v>
      </c>
      <c r="J55" s="28" t="n">
        <v>5.06</v>
      </c>
      <c r="K55" s="30" t="n">
        <v>0.1111</v>
      </c>
      <c r="L55" s="28" t="n">
        <v>27</v>
      </c>
      <c r="M55" s="31" t="n">
        <v>1455.96</v>
      </c>
      <c r="N55" s="32" t="n">
        <v>136.59</v>
      </c>
      <c r="O55" s="30" t="n">
        <v>0.0938</v>
      </c>
      <c r="P55" s="18" t="s">
        <v>24</v>
      </c>
      <c r="Q55" s="18" t="s">
        <v>103</v>
      </c>
      <c r="R55" s="18" t="n">
        <v>4</v>
      </c>
      <c r="S55" s="23" t="n">
        <v>0.3760200072523</v>
      </c>
      <c r="T55" s="20" t="n">
        <f aca="false">+S55*M55</f>
        <v>547.470089759059</v>
      </c>
      <c r="U55" s="21" t="n">
        <f aca="false">+T55/M55</f>
        <v>0.3760200072523</v>
      </c>
      <c r="V55" s="22" t="n">
        <f aca="false">+T55*U55</f>
        <v>205.859707121619</v>
      </c>
    </row>
    <row r="56" customFormat="false" ht="12.8" hidden="false" customHeight="false" outlineLevel="0" collapsed="false">
      <c r="A56" s="11" t="n">
        <v>88</v>
      </c>
      <c r="B56" s="11" t="n">
        <v>3</v>
      </c>
      <c r="C56" s="24" t="s">
        <v>101</v>
      </c>
      <c r="D56" s="28" t="n">
        <v>18799097700</v>
      </c>
      <c r="E56" s="29" t="s">
        <v>167</v>
      </c>
      <c r="F56" s="28" t="n">
        <v>8676</v>
      </c>
      <c r="G56" s="28" t="n">
        <v>78</v>
      </c>
      <c r="H56" s="33" t="n">
        <v>0.0009</v>
      </c>
      <c r="I56" s="28" t="n">
        <v>4</v>
      </c>
      <c r="J56" s="28" t="n">
        <v>8.23</v>
      </c>
      <c r="K56" s="30" t="n">
        <v>0.0513</v>
      </c>
      <c r="L56" s="28" t="n">
        <v>5</v>
      </c>
      <c r="M56" s="31" t="n">
        <v>308.3</v>
      </c>
      <c r="N56" s="32" t="n">
        <v>32.9</v>
      </c>
      <c r="O56" s="30" t="n">
        <v>0.1067</v>
      </c>
      <c r="P56" s="18" t="s">
        <v>24</v>
      </c>
      <c r="Q56" s="18" t="s">
        <v>103</v>
      </c>
      <c r="R56" s="18" t="n">
        <v>4</v>
      </c>
      <c r="S56" s="23" t="n">
        <v>0.3760200072523</v>
      </c>
      <c r="T56" s="20" t="n">
        <f aca="false">+S56*M56</f>
        <v>115.926968235884</v>
      </c>
      <c r="U56" s="21" t="n">
        <f aca="false">+T56/M56</f>
        <v>0.3760200072523</v>
      </c>
      <c r="V56" s="22" t="n">
        <f aca="false">+T56*U56</f>
        <v>43.5908594367944</v>
      </c>
    </row>
    <row r="57" customFormat="false" ht="12.8" hidden="false" customHeight="false" outlineLevel="0" collapsed="false">
      <c r="A57" s="11" t="n">
        <v>89</v>
      </c>
      <c r="B57" s="11" t="n">
        <v>3</v>
      </c>
      <c r="C57" s="24" t="s">
        <v>101</v>
      </c>
      <c r="D57" s="28" t="n">
        <v>28794280797</v>
      </c>
      <c r="E57" s="29" t="s">
        <v>168</v>
      </c>
      <c r="F57" s="28" t="n">
        <v>2934</v>
      </c>
      <c r="G57" s="28" t="n">
        <v>33</v>
      </c>
      <c r="H57" s="28" t="s">
        <v>169</v>
      </c>
      <c r="I57" s="28" t="n">
        <v>0</v>
      </c>
      <c r="J57" s="28" t="n">
        <v>0</v>
      </c>
      <c r="K57" s="30" t="n">
        <v>0</v>
      </c>
      <c r="L57" s="28" t="n">
        <v>0</v>
      </c>
      <c r="M57" s="31" t="n">
        <v>0</v>
      </c>
      <c r="N57" s="32" t="n">
        <v>14.92</v>
      </c>
      <c r="O57" s="30" t="n">
        <v>0</v>
      </c>
      <c r="P57" s="18" t="s">
        <v>24</v>
      </c>
      <c r="Q57" s="18" t="s">
        <v>103</v>
      </c>
      <c r="R57" s="18" t="n">
        <v>5</v>
      </c>
      <c r="S57" s="23" t="n">
        <v>0.461160608194517</v>
      </c>
      <c r="T57" s="20" t="n">
        <f aca="false">+S57*M57</f>
        <v>0</v>
      </c>
      <c r="U57" s="21" t="e">
        <f aca="false">+T57/M57</f>
        <v>#DIV/0!</v>
      </c>
      <c r="V57" s="22" t="e">
        <f aca="false">+T57*U57</f>
        <v>#DIV/0!</v>
      </c>
    </row>
    <row r="58" customFormat="false" ht="12.8" hidden="false" customHeight="false" outlineLevel="0" collapsed="false">
      <c r="A58" s="11" t="n">
        <v>54</v>
      </c>
      <c r="B58" s="11" t="n">
        <v>2</v>
      </c>
      <c r="C58" s="24" t="s">
        <v>101</v>
      </c>
      <c r="D58" s="24" t="n">
        <v>22197175859</v>
      </c>
      <c r="E58" s="25" t="s">
        <v>170</v>
      </c>
      <c r="F58" s="24" t="n">
        <v>13143</v>
      </c>
      <c r="G58" s="24" t="n">
        <v>306</v>
      </c>
      <c r="H58" s="24" t="s">
        <v>171</v>
      </c>
      <c r="I58" s="24" t="n">
        <v>35</v>
      </c>
      <c r="J58" s="24" t="n">
        <v>2.42</v>
      </c>
      <c r="K58" s="24" t="s">
        <v>172</v>
      </c>
      <c r="L58" s="24" t="n">
        <v>36</v>
      </c>
      <c r="M58" s="26" t="n">
        <v>930.49</v>
      </c>
      <c r="N58" s="27" t="n">
        <v>84.64</v>
      </c>
      <c r="O58" s="24" t="s">
        <v>173</v>
      </c>
      <c r="P58" s="18" t="s">
        <v>24</v>
      </c>
      <c r="Q58" s="18" t="s">
        <v>103</v>
      </c>
      <c r="R58" s="18" t="n">
        <v>1</v>
      </c>
      <c r="S58" s="23" t="n">
        <v>0.385177536868913</v>
      </c>
      <c r="T58" s="20" t="n">
        <f aca="false">+S58*M58</f>
        <v>358.403846281155</v>
      </c>
      <c r="U58" s="21" t="n">
        <f aca="false">+T58/M58</f>
        <v>0.385177536868913</v>
      </c>
      <c r="V58" s="22" t="n">
        <f aca="false">+T58*U58</f>
        <v>138.04911071492</v>
      </c>
    </row>
    <row r="59" customFormat="false" ht="12.8" hidden="false" customHeight="false" outlineLevel="0" collapsed="false">
      <c r="A59" s="11" t="n">
        <v>85</v>
      </c>
      <c r="B59" s="11" t="n">
        <v>3</v>
      </c>
      <c r="C59" s="24" t="s">
        <v>174</v>
      </c>
      <c r="D59" s="28" t="n">
        <v>21697638799</v>
      </c>
      <c r="E59" s="29" t="s">
        <v>175</v>
      </c>
      <c r="F59" s="28" t="n">
        <v>69645</v>
      </c>
      <c r="G59" s="28" t="n">
        <v>1063</v>
      </c>
      <c r="H59" s="28" t="s">
        <v>176</v>
      </c>
      <c r="I59" s="28" t="n">
        <v>114</v>
      </c>
      <c r="J59" s="28" t="n">
        <v>4.89</v>
      </c>
      <c r="K59" s="30" t="n">
        <v>0.1072</v>
      </c>
      <c r="L59" s="28" t="n">
        <v>118</v>
      </c>
      <c r="M59" s="31" t="n">
        <v>6730.62</v>
      </c>
      <c r="N59" s="32" t="n">
        <v>557.58</v>
      </c>
      <c r="O59" s="30" t="n">
        <v>0.0828</v>
      </c>
      <c r="P59" s="18" t="s">
        <v>24</v>
      </c>
      <c r="Q59" s="18" t="s">
        <v>103</v>
      </c>
      <c r="R59" s="18" t="n">
        <v>4</v>
      </c>
      <c r="S59" s="23" t="n">
        <v>0.3760200072523</v>
      </c>
      <c r="T59" s="20" t="n">
        <f aca="false">+S59*M59</f>
        <v>2530.84778121248</v>
      </c>
      <c r="U59" s="21" t="n">
        <f aca="false">+T59/M59</f>
        <v>0.3760200072523</v>
      </c>
      <c r="V59" s="22" t="n">
        <f aca="false">+T59*U59</f>
        <v>951.649401045985</v>
      </c>
    </row>
    <row r="60" customFormat="false" ht="12.8" hidden="false" customHeight="false" outlineLevel="0" collapsed="false">
      <c r="A60" s="11" t="n">
        <v>13</v>
      </c>
      <c r="B60" s="11" t="n">
        <v>1</v>
      </c>
      <c r="C60" s="12" t="s">
        <v>174</v>
      </c>
      <c r="D60" s="12" t="n">
        <v>22097387599</v>
      </c>
      <c r="E60" s="13" t="s">
        <v>177</v>
      </c>
      <c r="F60" s="14" t="n">
        <v>15545</v>
      </c>
      <c r="G60" s="14" t="n">
        <v>410</v>
      </c>
      <c r="H60" s="15" t="n">
        <v>0.0264</v>
      </c>
      <c r="I60" s="14" t="n">
        <v>38</v>
      </c>
      <c r="J60" s="16" t="n">
        <v>2.3</v>
      </c>
      <c r="K60" s="15" t="n">
        <v>0.0927</v>
      </c>
      <c r="L60" s="14" t="n">
        <v>42</v>
      </c>
      <c r="M60" s="17" t="n">
        <v>919.4</v>
      </c>
      <c r="N60" s="17" t="n">
        <v>87.23</v>
      </c>
      <c r="O60" s="15" t="n">
        <v>0.0949</v>
      </c>
      <c r="P60" s="18" t="s">
        <v>24</v>
      </c>
      <c r="Q60" s="18" t="s">
        <v>178</v>
      </c>
      <c r="R60" s="18" t="n">
        <v>1</v>
      </c>
      <c r="S60" s="23" t="n">
        <v>0.361585464298583</v>
      </c>
      <c r="T60" s="20" t="n">
        <f aca="false">+S60*M60</f>
        <v>332.441675876117</v>
      </c>
      <c r="U60" s="21" t="n">
        <f aca="false">+T60/M60</f>
        <v>0.361585464298583</v>
      </c>
      <c r="V60" s="22" t="n">
        <f aca="false">+T60*U60</f>
        <v>120.206077723865</v>
      </c>
    </row>
    <row r="61" customFormat="false" ht="12.8" hidden="false" customHeight="false" outlineLevel="0" collapsed="false">
      <c r="A61" s="11" t="n">
        <v>24</v>
      </c>
      <c r="B61" s="11" t="n">
        <v>1</v>
      </c>
      <c r="C61" s="12" t="s">
        <v>174</v>
      </c>
      <c r="D61" s="12" t="n">
        <v>23393517180</v>
      </c>
      <c r="E61" s="13" t="s">
        <v>179</v>
      </c>
      <c r="F61" s="14" t="n">
        <v>6620</v>
      </c>
      <c r="G61" s="14" t="n">
        <v>77</v>
      </c>
      <c r="H61" s="15" t="n">
        <v>0.0116</v>
      </c>
      <c r="I61" s="14" t="n">
        <v>4</v>
      </c>
      <c r="J61" s="16" t="n">
        <v>10.16</v>
      </c>
      <c r="K61" s="15" t="n">
        <v>0.0519</v>
      </c>
      <c r="L61" s="14" t="n">
        <v>4</v>
      </c>
      <c r="M61" s="17" t="n">
        <v>292.6</v>
      </c>
      <c r="N61" s="17" t="n">
        <v>40.63</v>
      </c>
      <c r="O61" s="15" t="n">
        <v>0.1388</v>
      </c>
      <c r="P61" s="18" t="s">
        <v>24</v>
      </c>
      <c r="Q61" s="18" t="s">
        <v>178</v>
      </c>
      <c r="R61" s="18" t="n">
        <v>4</v>
      </c>
      <c r="S61" s="23" t="n">
        <v>0.371793269807945</v>
      </c>
      <c r="T61" s="20" t="n">
        <f aca="false">+S61*M61</f>
        <v>108.786710745805</v>
      </c>
      <c r="U61" s="21" t="n">
        <f aca="false">+T61/M61</f>
        <v>0.371793269807945</v>
      </c>
      <c r="V61" s="22" t="n">
        <f aca="false">+T61*U61</f>
        <v>40.4461668998339</v>
      </c>
    </row>
    <row r="62" customFormat="false" ht="12.8" hidden="false" customHeight="false" outlineLevel="0" collapsed="false">
      <c r="A62" s="11" t="n">
        <v>76</v>
      </c>
      <c r="B62" s="11" t="n">
        <v>3</v>
      </c>
      <c r="C62" s="24" t="s">
        <v>180</v>
      </c>
      <c r="D62" s="28" t="n">
        <v>58251764221</v>
      </c>
      <c r="E62" s="29" t="s">
        <v>181</v>
      </c>
      <c r="F62" s="28" t="n">
        <v>9228</v>
      </c>
      <c r="G62" s="28" t="n">
        <v>95</v>
      </c>
      <c r="H62" s="28" t="s">
        <v>182</v>
      </c>
      <c r="I62" s="28" t="n">
        <v>2</v>
      </c>
      <c r="J62" s="28" t="n">
        <v>13.1</v>
      </c>
      <c r="K62" s="30" t="n">
        <v>0.0211</v>
      </c>
      <c r="L62" s="28" t="n">
        <v>2</v>
      </c>
      <c r="M62" s="31" t="n">
        <v>82.79</v>
      </c>
      <c r="N62" s="32" t="n">
        <v>26.19</v>
      </c>
      <c r="O62" s="30" t="n">
        <v>0.3164</v>
      </c>
      <c r="P62" s="18" t="s">
        <v>24</v>
      </c>
      <c r="Q62" s="18" t="s">
        <v>183</v>
      </c>
      <c r="R62" s="18" t="n">
        <v>1</v>
      </c>
      <c r="S62" s="23" t="n">
        <v>0.163186188648452</v>
      </c>
      <c r="T62" s="20" t="n">
        <f aca="false">+S62*M62</f>
        <v>13.5101845582054</v>
      </c>
      <c r="U62" s="21" t="n">
        <f aca="false">+T62/M62</f>
        <v>0.163186188648452</v>
      </c>
      <c r="V62" s="22" t="n">
        <f aca="false">+T62*U62</f>
        <v>2.2046755259907</v>
      </c>
    </row>
    <row r="63" customFormat="false" ht="12.8" hidden="false" customHeight="false" outlineLevel="0" collapsed="false">
      <c r="A63" s="11" t="n">
        <v>78</v>
      </c>
      <c r="B63" s="11" t="n">
        <v>3</v>
      </c>
      <c r="C63" s="24" t="s">
        <v>180</v>
      </c>
      <c r="D63" s="28" t="n">
        <v>22194735251</v>
      </c>
      <c r="E63" s="29" t="s">
        <v>184</v>
      </c>
      <c r="F63" s="28" t="n">
        <v>5238</v>
      </c>
      <c r="G63" s="28" t="n">
        <v>33</v>
      </c>
      <c r="H63" s="28" t="s">
        <v>185</v>
      </c>
      <c r="I63" s="28" t="n">
        <v>0</v>
      </c>
      <c r="J63" s="28" t="n">
        <v>0</v>
      </c>
      <c r="K63" s="30" t="n">
        <v>0</v>
      </c>
      <c r="L63" s="28" t="n">
        <v>0</v>
      </c>
      <c r="M63" s="31" t="n">
        <v>0</v>
      </c>
      <c r="N63" s="32" t="n">
        <v>8.39</v>
      </c>
      <c r="O63" s="30" t="n">
        <v>0</v>
      </c>
      <c r="P63" s="18" t="s">
        <v>24</v>
      </c>
      <c r="Q63" s="18" t="s">
        <v>183</v>
      </c>
      <c r="R63" s="18" t="n">
        <v>2</v>
      </c>
      <c r="S63" s="23" t="n">
        <v>0.186436130406176</v>
      </c>
      <c r="T63" s="20" t="n">
        <f aca="false">+S63*M63</f>
        <v>0</v>
      </c>
      <c r="U63" s="21" t="e">
        <f aca="false">+T63/M63</f>
        <v>#DIV/0!</v>
      </c>
      <c r="V63" s="22" t="e">
        <f aca="false">+T63*U63</f>
        <v>#DIV/0!</v>
      </c>
    </row>
    <row r="64" customFormat="false" ht="12.8" hidden="false" customHeight="false" outlineLevel="0" collapsed="false">
      <c r="A64" s="11" t="n">
        <v>22</v>
      </c>
      <c r="B64" s="11" t="n">
        <v>1</v>
      </c>
      <c r="C64" s="12" t="s">
        <v>186</v>
      </c>
      <c r="D64" s="12" t="n">
        <v>19899863668</v>
      </c>
      <c r="E64" s="13" t="s">
        <v>187</v>
      </c>
      <c r="F64" s="14" t="n">
        <v>4167</v>
      </c>
      <c r="G64" s="14" t="n">
        <v>35</v>
      </c>
      <c r="H64" s="15" t="n">
        <v>0.0084</v>
      </c>
      <c r="I64" s="14" t="n">
        <v>1</v>
      </c>
      <c r="J64" s="16" t="n">
        <v>11.07</v>
      </c>
      <c r="K64" s="15" t="n">
        <v>0.0286</v>
      </c>
      <c r="L64" s="14" t="n">
        <v>1</v>
      </c>
      <c r="M64" s="17" t="n">
        <v>56.9</v>
      </c>
      <c r="N64" s="17" t="n">
        <v>11.07</v>
      </c>
      <c r="O64" s="15" t="n">
        <v>0.1946</v>
      </c>
      <c r="P64" s="18" t="s">
        <v>24</v>
      </c>
      <c r="Q64" s="18" t="s">
        <v>188</v>
      </c>
      <c r="R64" s="18" t="n">
        <v>2</v>
      </c>
      <c r="S64" s="23" t="n">
        <v>0.176669567671499</v>
      </c>
      <c r="T64" s="20" t="n">
        <f aca="false">+S64*M64</f>
        <v>10.0524984005083</v>
      </c>
      <c r="U64" s="21" t="n">
        <f aca="false">+T64/M64</f>
        <v>0.176669567671499</v>
      </c>
      <c r="V64" s="22" t="n">
        <f aca="false">+T64*U64</f>
        <v>1.77597054643624</v>
      </c>
    </row>
    <row r="65" customFormat="false" ht="12.8" hidden="false" customHeight="false" outlineLevel="0" collapsed="false">
      <c r="A65" s="11" t="n">
        <v>49</v>
      </c>
      <c r="B65" s="11" t="n">
        <v>2</v>
      </c>
      <c r="C65" s="24" t="s">
        <v>186</v>
      </c>
      <c r="D65" s="24" t="n">
        <v>22194374055</v>
      </c>
      <c r="E65" s="25" t="s">
        <v>189</v>
      </c>
      <c r="F65" s="24" t="n">
        <v>18727</v>
      </c>
      <c r="G65" s="24" t="n">
        <v>325</v>
      </c>
      <c r="H65" s="24" t="s">
        <v>190</v>
      </c>
      <c r="I65" s="24" t="n">
        <v>13</v>
      </c>
      <c r="J65" s="24" t="n">
        <v>13.71</v>
      </c>
      <c r="K65" s="24" t="s">
        <v>191</v>
      </c>
      <c r="L65" s="24" t="n">
        <v>13</v>
      </c>
      <c r="M65" s="26" t="n">
        <v>819.7</v>
      </c>
      <c r="N65" s="27" t="n">
        <v>178.26</v>
      </c>
      <c r="O65" s="24" t="s">
        <v>192</v>
      </c>
      <c r="P65" s="18" t="s">
        <v>24</v>
      </c>
      <c r="Q65" s="18" t="s">
        <v>188</v>
      </c>
      <c r="R65" s="18" t="n">
        <v>3</v>
      </c>
      <c r="S65" s="23" t="n">
        <v>0.263938045117114</v>
      </c>
      <c r="T65" s="20" t="n">
        <f aca="false">+S65*M65</f>
        <v>216.350015582498</v>
      </c>
      <c r="U65" s="21" t="n">
        <f aca="false">+T65/M65</f>
        <v>0.263938045117114</v>
      </c>
      <c r="V65" s="22" t="n">
        <f aca="false">+T65*U65</f>
        <v>57.1030001739017</v>
      </c>
    </row>
    <row r="66" customFormat="false" ht="12.8" hidden="false" customHeight="false" outlineLevel="0" collapsed="false">
      <c r="A66" s="11" t="n">
        <v>63</v>
      </c>
      <c r="B66" s="11" t="n">
        <v>2</v>
      </c>
      <c r="C66" s="24" t="s">
        <v>186</v>
      </c>
      <c r="D66" s="24" t="n">
        <v>22198866258</v>
      </c>
      <c r="E66" s="25" t="s">
        <v>193</v>
      </c>
      <c r="F66" s="24" t="n">
        <v>7187</v>
      </c>
      <c r="G66" s="24" t="n">
        <v>84</v>
      </c>
      <c r="H66" s="24" t="s">
        <v>194</v>
      </c>
      <c r="I66" s="24" t="n">
        <v>3</v>
      </c>
      <c r="J66" s="24" t="n">
        <v>32.23</v>
      </c>
      <c r="K66" s="24" t="s">
        <v>154</v>
      </c>
      <c r="L66" s="24" t="n">
        <v>3</v>
      </c>
      <c r="M66" s="26" t="n">
        <v>169.7</v>
      </c>
      <c r="N66" s="27" t="n">
        <v>96.68</v>
      </c>
      <c r="O66" s="24" t="s">
        <v>195</v>
      </c>
      <c r="P66" s="18" t="s">
        <v>24</v>
      </c>
      <c r="Q66" s="18" t="s">
        <v>188</v>
      </c>
      <c r="R66" s="18" t="n">
        <v>2</v>
      </c>
      <c r="S66" s="23" t="n">
        <v>0.176669567671499</v>
      </c>
      <c r="T66" s="20" t="n">
        <f aca="false">+S66*M66</f>
        <v>29.9808256338534</v>
      </c>
      <c r="U66" s="21" t="n">
        <f aca="false">+T66/M66</f>
        <v>0.176669567671499</v>
      </c>
      <c r="V66" s="22" t="n">
        <f aca="false">+T66*U66</f>
        <v>5.29669950316748</v>
      </c>
    </row>
    <row r="67" customFormat="false" ht="12.8" hidden="false" customHeight="false" outlineLevel="0" collapsed="false">
      <c r="A67" s="11" t="n">
        <v>64</v>
      </c>
      <c r="B67" s="11" t="n">
        <v>2</v>
      </c>
      <c r="C67" s="24" t="s">
        <v>186</v>
      </c>
      <c r="D67" s="24" t="n">
        <v>27542190442</v>
      </c>
      <c r="E67" s="25" t="s">
        <v>196</v>
      </c>
      <c r="F67" s="24" t="n">
        <v>6534</v>
      </c>
      <c r="G67" s="24" t="n">
        <v>99</v>
      </c>
      <c r="H67" s="24" t="s">
        <v>197</v>
      </c>
      <c r="I67" s="24" t="n">
        <v>2</v>
      </c>
      <c r="J67" s="24" t="n">
        <v>16.09</v>
      </c>
      <c r="K67" s="24" t="s">
        <v>198</v>
      </c>
      <c r="L67" s="24" t="n">
        <v>2</v>
      </c>
      <c r="M67" s="26" t="n">
        <v>107.8</v>
      </c>
      <c r="N67" s="27" t="n">
        <v>32.18</v>
      </c>
      <c r="O67" s="24" t="s">
        <v>199</v>
      </c>
      <c r="P67" s="18" t="s">
        <v>24</v>
      </c>
      <c r="Q67" s="18" t="s">
        <v>188</v>
      </c>
      <c r="R67" s="18" t="n">
        <v>2</v>
      </c>
      <c r="S67" s="23" t="n">
        <v>0.176669567671499</v>
      </c>
      <c r="T67" s="20" t="n">
        <f aca="false">+S67*M67</f>
        <v>19.0449793949876</v>
      </c>
      <c r="U67" s="21" t="n">
        <f aca="false">+T67/M67</f>
        <v>0.176669567671499</v>
      </c>
      <c r="V67" s="22" t="n">
        <f aca="false">+T67*U67</f>
        <v>3.36466827602507</v>
      </c>
    </row>
    <row r="68" customFormat="false" ht="12.8" hidden="false" customHeight="false" outlineLevel="0" collapsed="false">
      <c r="A68" s="11" t="n">
        <v>65</v>
      </c>
      <c r="B68" s="11" t="n">
        <v>2</v>
      </c>
      <c r="C68" s="24" t="s">
        <v>186</v>
      </c>
      <c r="D68" s="24" t="n">
        <v>22198870488</v>
      </c>
      <c r="E68" s="25" t="s">
        <v>200</v>
      </c>
      <c r="F68" s="24" t="n">
        <v>6237</v>
      </c>
      <c r="G68" s="24" t="n">
        <v>103</v>
      </c>
      <c r="H68" s="24" t="s">
        <v>166</v>
      </c>
      <c r="I68" s="24" t="n">
        <v>3</v>
      </c>
      <c r="J68" s="24" t="n">
        <v>18.89</v>
      </c>
      <c r="K68" s="24" t="s">
        <v>201</v>
      </c>
      <c r="L68" s="24" t="n">
        <v>3</v>
      </c>
      <c r="M68" s="26" t="n">
        <v>144.7</v>
      </c>
      <c r="N68" s="27" t="n">
        <v>56.67</v>
      </c>
      <c r="O68" s="24" t="s">
        <v>202</v>
      </c>
      <c r="P68" s="18" t="s">
        <v>24</v>
      </c>
      <c r="Q68" s="18" t="s">
        <v>188</v>
      </c>
      <c r="R68" s="18" t="n">
        <v>1</v>
      </c>
      <c r="S68" s="19" t="n">
        <v>0.3</v>
      </c>
      <c r="T68" s="20" t="n">
        <f aca="false">+S68*M68</f>
        <v>43.41</v>
      </c>
      <c r="U68" s="21" t="n">
        <f aca="false">+T68/M68</f>
        <v>0.3</v>
      </c>
      <c r="V68" s="22" t="n">
        <f aca="false">+T68*U68</f>
        <v>13.023</v>
      </c>
    </row>
    <row r="69" customFormat="false" ht="12.8" hidden="false" customHeight="false" outlineLevel="0" collapsed="false">
      <c r="A69" s="11" t="n">
        <v>66</v>
      </c>
      <c r="B69" s="11" t="n">
        <v>2</v>
      </c>
      <c r="C69" s="24" t="s">
        <v>186</v>
      </c>
      <c r="D69" s="24" t="n">
        <v>28642190464</v>
      </c>
      <c r="E69" s="25" t="s">
        <v>203</v>
      </c>
      <c r="F69" s="24" t="n">
        <v>8883</v>
      </c>
      <c r="G69" s="24" t="n">
        <v>84</v>
      </c>
      <c r="H69" s="24" t="s">
        <v>204</v>
      </c>
      <c r="I69" s="24" t="n">
        <v>0</v>
      </c>
      <c r="J69" s="24" t="n">
        <v>0</v>
      </c>
      <c r="K69" s="24" t="s">
        <v>205</v>
      </c>
      <c r="L69" s="24" t="n">
        <v>0</v>
      </c>
      <c r="M69" s="26" t="n">
        <v>0</v>
      </c>
      <c r="N69" s="27" t="n">
        <v>72.85</v>
      </c>
      <c r="O69" s="24" t="s">
        <v>205</v>
      </c>
      <c r="P69" s="18" t="s">
        <v>24</v>
      </c>
      <c r="Q69" s="18" t="s">
        <v>188</v>
      </c>
      <c r="R69" s="18" t="n">
        <v>4</v>
      </c>
      <c r="S69" s="19" t="n">
        <v>0.3</v>
      </c>
      <c r="T69" s="20" t="n">
        <f aca="false">+S69*M69</f>
        <v>0</v>
      </c>
      <c r="U69" s="21" t="e">
        <f aca="false">+T69/M69</f>
        <v>#DIV/0!</v>
      </c>
      <c r="V69" s="22" t="e">
        <f aca="false">+T69*U69</f>
        <v>#DIV/0!</v>
      </c>
    </row>
    <row r="70" customFormat="false" ht="12.8" hidden="false" customHeight="false" outlineLevel="0" collapsed="false">
      <c r="A70" s="11" t="n">
        <v>72</v>
      </c>
      <c r="B70" s="11" t="n">
        <v>3</v>
      </c>
      <c r="C70" s="24" t="s">
        <v>186</v>
      </c>
      <c r="D70" s="28" t="n">
        <v>51956439915</v>
      </c>
      <c r="E70" s="29" t="s">
        <v>206</v>
      </c>
      <c r="F70" s="28" t="n">
        <v>9876</v>
      </c>
      <c r="G70" s="28" t="n">
        <v>169</v>
      </c>
      <c r="H70" s="28" t="s">
        <v>207</v>
      </c>
      <c r="I70" s="28" t="n">
        <v>8</v>
      </c>
      <c r="J70" s="28" t="n">
        <v>8.44</v>
      </c>
      <c r="K70" s="30" t="n">
        <v>0.0473</v>
      </c>
      <c r="L70" s="28" t="n">
        <v>8</v>
      </c>
      <c r="M70" s="31" t="n">
        <v>495.2</v>
      </c>
      <c r="N70" s="32" t="n">
        <v>67.53</v>
      </c>
      <c r="O70" s="30" t="n">
        <v>0.1364</v>
      </c>
      <c r="P70" s="18" t="s">
        <v>24</v>
      </c>
      <c r="Q70" s="18" t="s">
        <v>188</v>
      </c>
      <c r="R70" s="18" t="n">
        <v>3</v>
      </c>
      <c r="S70" s="23" t="n">
        <v>0.263938045117114</v>
      </c>
      <c r="T70" s="20" t="n">
        <f aca="false">+S70*M70</f>
        <v>130.702119941995</v>
      </c>
      <c r="U70" s="21" t="n">
        <f aca="false">+T70/M70</f>
        <v>0.263938045117114</v>
      </c>
      <c r="V70" s="22" t="n">
        <f aca="false">+T70*U70</f>
        <v>34.4972620301526</v>
      </c>
    </row>
    <row r="71" customFormat="false" ht="12.8" hidden="false" customHeight="false" outlineLevel="0" collapsed="false">
      <c r="A71" s="11" t="n">
        <v>74</v>
      </c>
      <c r="B71" s="11" t="n">
        <v>3</v>
      </c>
      <c r="C71" s="24" t="s">
        <v>186</v>
      </c>
      <c r="D71" s="28" t="n">
        <v>45257455937</v>
      </c>
      <c r="E71" s="29" t="s">
        <v>208</v>
      </c>
      <c r="F71" s="28" t="n">
        <v>25084</v>
      </c>
      <c r="G71" s="28" t="n">
        <v>585</v>
      </c>
      <c r="H71" s="28" t="s">
        <v>171</v>
      </c>
      <c r="I71" s="28" t="n">
        <v>19</v>
      </c>
      <c r="J71" s="28" t="n">
        <v>8.27</v>
      </c>
      <c r="K71" s="30" t="n">
        <v>0.0325</v>
      </c>
      <c r="L71" s="28" t="n">
        <v>21</v>
      </c>
      <c r="M71" s="31" t="n">
        <v>1054.95</v>
      </c>
      <c r="N71" s="32" t="n">
        <v>157.19</v>
      </c>
      <c r="O71" s="30" t="n">
        <v>0.149</v>
      </c>
      <c r="P71" s="18" t="s">
        <v>24</v>
      </c>
      <c r="Q71" s="18" t="s">
        <v>188</v>
      </c>
      <c r="R71" s="18" t="n">
        <v>2</v>
      </c>
      <c r="S71" s="23" t="n">
        <v>0.176669567671499</v>
      </c>
      <c r="T71" s="20" t="n">
        <f aca="false">+S71*M71</f>
        <v>186.377560415048</v>
      </c>
      <c r="U71" s="21" t="n">
        <f aca="false">+T71/M71</f>
        <v>0.176669567671499</v>
      </c>
      <c r="V71" s="22" t="n">
        <f aca="false">+T71*U71</f>
        <v>32.9272430221952</v>
      </c>
    </row>
    <row r="72" customFormat="false" ht="12.8" hidden="false" customHeight="false" outlineLevel="0" collapsed="false">
      <c r="A72" s="11" t="n">
        <v>80</v>
      </c>
      <c r="B72" s="11" t="n">
        <v>3</v>
      </c>
      <c r="C72" s="24" t="s">
        <v>186</v>
      </c>
      <c r="D72" s="28" t="n">
        <v>22194438407</v>
      </c>
      <c r="E72" s="29" t="s">
        <v>209</v>
      </c>
      <c r="F72" s="28" t="n">
        <v>8837</v>
      </c>
      <c r="G72" s="28" t="n">
        <v>174</v>
      </c>
      <c r="H72" s="28" t="s">
        <v>210</v>
      </c>
      <c r="I72" s="28" t="n">
        <v>8</v>
      </c>
      <c r="J72" s="28" t="n">
        <v>9.99</v>
      </c>
      <c r="K72" s="30" t="n">
        <v>0.046</v>
      </c>
      <c r="L72" s="28" t="n">
        <v>9</v>
      </c>
      <c r="M72" s="31" t="n">
        <v>478.4</v>
      </c>
      <c r="N72" s="32" t="n">
        <v>79.94</v>
      </c>
      <c r="O72" s="30" t="n">
        <v>0.1671</v>
      </c>
      <c r="P72" s="18" t="s">
        <v>24</v>
      </c>
      <c r="Q72" s="18" t="s">
        <v>188</v>
      </c>
      <c r="R72" s="18" t="n">
        <v>2</v>
      </c>
      <c r="S72" s="23" t="n">
        <v>0.176669567671499</v>
      </c>
      <c r="T72" s="20" t="n">
        <f aca="false">+S72*M72</f>
        <v>84.5187211740452</v>
      </c>
      <c r="U72" s="21" t="n">
        <f aca="false">+T72/M72</f>
        <v>0.176669567671499</v>
      </c>
      <c r="V72" s="22" t="n">
        <f aca="false">+T72*U72</f>
        <v>14.9318859299665</v>
      </c>
    </row>
    <row r="73" customFormat="false" ht="12.8" hidden="false" customHeight="false" outlineLevel="0" collapsed="false">
      <c r="A73" s="11" t="n">
        <v>83</v>
      </c>
      <c r="B73" s="11" t="n">
        <v>3</v>
      </c>
      <c r="C73" s="24" t="s">
        <v>186</v>
      </c>
      <c r="D73" s="28" t="n">
        <v>23194341263</v>
      </c>
      <c r="E73" s="29" t="s">
        <v>211</v>
      </c>
      <c r="F73" s="28" t="n">
        <v>2983</v>
      </c>
      <c r="G73" s="28" t="n">
        <v>31</v>
      </c>
      <c r="H73" s="28" t="s">
        <v>212</v>
      </c>
      <c r="I73" s="28" t="n">
        <v>4</v>
      </c>
      <c r="J73" s="28" t="n">
        <v>1.84</v>
      </c>
      <c r="K73" s="30" t="n">
        <v>0.129</v>
      </c>
      <c r="L73" s="28" t="n">
        <v>4</v>
      </c>
      <c r="M73" s="31" t="n">
        <v>357.59</v>
      </c>
      <c r="N73" s="32" t="n">
        <v>7.35</v>
      </c>
      <c r="O73" s="30" t="n">
        <v>0.0206</v>
      </c>
      <c r="P73" s="18" t="s">
        <v>24</v>
      </c>
      <c r="Q73" s="18" t="s">
        <v>188</v>
      </c>
      <c r="R73" s="18" t="n">
        <v>3</v>
      </c>
      <c r="S73" s="23" t="n">
        <v>0.263938045117114</v>
      </c>
      <c r="T73" s="20" t="n">
        <f aca="false">+S73*M73</f>
        <v>94.3816055534287</v>
      </c>
      <c r="U73" s="21" t="n">
        <f aca="false">+T73/M73</f>
        <v>0.263938045117114</v>
      </c>
      <c r="V73" s="22" t="n">
        <f aca="false">+T73*U73</f>
        <v>24.9108964647865</v>
      </c>
    </row>
    <row r="74" customFormat="false" ht="12.8" hidden="false" customHeight="false" outlineLevel="0" collapsed="false">
      <c r="A74" s="11" t="n">
        <v>75</v>
      </c>
      <c r="B74" s="11" t="n">
        <v>3</v>
      </c>
      <c r="C74" s="24" t="s">
        <v>213</v>
      </c>
      <c r="D74" s="28" t="n">
        <v>50807158309</v>
      </c>
      <c r="E74" s="29" t="s">
        <v>214</v>
      </c>
      <c r="F74" s="28" t="n">
        <v>18025</v>
      </c>
      <c r="G74" s="28" t="n">
        <v>374</v>
      </c>
      <c r="H74" s="28" t="s">
        <v>215</v>
      </c>
      <c r="I74" s="28" t="n">
        <v>35</v>
      </c>
      <c r="J74" s="28" t="n">
        <v>3.83</v>
      </c>
      <c r="K74" s="30" t="n">
        <v>0.0936</v>
      </c>
      <c r="L74" s="28" t="n">
        <v>35</v>
      </c>
      <c r="M74" s="31" t="n">
        <v>1405.5</v>
      </c>
      <c r="N74" s="32" t="n">
        <v>134.1</v>
      </c>
      <c r="O74" s="30" t="n">
        <v>0.0954</v>
      </c>
      <c r="P74" s="18" t="s">
        <v>24</v>
      </c>
      <c r="Q74" s="18" t="s">
        <v>216</v>
      </c>
      <c r="R74" s="18" t="n">
        <v>1</v>
      </c>
      <c r="S74" s="23" t="n">
        <v>0.201074195874253</v>
      </c>
      <c r="T74" s="20" t="n">
        <f aca="false">+S74*M74</f>
        <v>282.609782301262</v>
      </c>
      <c r="U74" s="21" t="n">
        <f aca="false">+T74/M74</f>
        <v>0.201074195874253</v>
      </c>
      <c r="V74" s="22" t="n">
        <f aca="false">+T74*U74</f>
        <v>56.8255347224239</v>
      </c>
    </row>
    <row r="75" customFormat="false" ht="12.8" hidden="false" customHeight="false" outlineLevel="0" collapsed="false">
      <c r="A75" s="11" t="n">
        <v>16</v>
      </c>
      <c r="B75" s="11" t="n">
        <v>1</v>
      </c>
      <c r="C75" s="12" t="s">
        <v>217</v>
      </c>
      <c r="D75" s="12" t="n">
        <v>19799037778</v>
      </c>
      <c r="E75" s="13" t="s">
        <v>218</v>
      </c>
      <c r="F75" s="14" t="n">
        <v>11558</v>
      </c>
      <c r="G75" s="14" t="n">
        <v>128</v>
      </c>
      <c r="H75" s="15" t="n">
        <v>0.0111</v>
      </c>
      <c r="I75" s="14" t="n">
        <v>18</v>
      </c>
      <c r="J75" s="16" t="n">
        <v>3.06</v>
      </c>
      <c r="K75" s="15" t="n">
        <v>0.1406</v>
      </c>
      <c r="L75" s="14" t="n">
        <v>19</v>
      </c>
      <c r="M75" s="17" t="n">
        <v>684.15</v>
      </c>
      <c r="N75" s="17" t="n">
        <v>55.04</v>
      </c>
      <c r="O75" s="15" t="n">
        <v>0.0804</v>
      </c>
      <c r="P75" s="18" t="s">
        <v>24</v>
      </c>
      <c r="Q75" s="18" t="s">
        <v>219</v>
      </c>
      <c r="R75" s="18" t="n">
        <v>1</v>
      </c>
      <c r="S75" s="23" t="n">
        <v>0.369132048796189</v>
      </c>
      <c r="T75" s="20" t="n">
        <f aca="false">+S75*M75</f>
        <v>252.541691183913</v>
      </c>
      <c r="U75" s="21" t="n">
        <f aca="false">+T75/M75</f>
        <v>0.369132048796189</v>
      </c>
      <c r="V75" s="22" t="n">
        <f aca="false">+T75*U75</f>
        <v>93.2212318731723</v>
      </c>
    </row>
    <row r="76" customFormat="false" ht="12.8" hidden="false" customHeight="false" outlineLevel="0" collapsed="false">
      <c r="A76" s="11" t="n">
        <v>53</v>
      </c>
      <c r="B76" s="11" t="n">
        <v>2</v>
      </c>
      <c r="C76" s="11" t="s">
        <v>217</v>
      </c>
      <c r="D76" s="24" t="n">
        <v>22197175015</v>
      </c>
      <c r="E76" s="25" t="s">
        <v>220</v>
      </c>
      <c r="F76" s="24" t="n">
        <v>13813</v>
      </c>
      <c r="G76" s="24" t="n">
        <v>181</v>
      </c>
      <c r="H76" s="24" t="s">
        <v>221</v>
      </c>
      <c r="I76" s="24" t="n">
        <v>11</v>
      </c>
      <c r="J76" s="24" t="n">
        <v>7.74</v>
      </c>
      <c r="K76" s="24" t="s">
        <v>222</v>
      </c>
      <c r="L76" s="24" t="n">
        <v>11</v>
      </c>
      <c r="M76" s="26" t="n">
        <v>456.9</v>
      </c>
      <c r="N76" s="27" t="n">
        <v>85.19</v>
      </c>
      <c r="O76" s="24" t="s">
        <v>223</v>
      </c>
      <c r="P76" s="18" t="s">
        <v>24</v>
      </c>
      <c r="Q76" s="18" t="s">
        <v>219</v>
      </c>
      <c r="R76" s="18" t="n">
        <v>1</v>
      </c>
      <c r="S76" s="23" t="n">
        <v>0.369132048796189</v>
      </c>
      <c r="T76" s="20" t="n">
        <f aca="false">+S76*M76</f>
        <v>168.656433094979</v>
      </c>
      <c r="U76" s="21" t="n">
        <f aca="false">+T76/M76</f>
        <v>0.369132048796189</v>
      </c>
      <c r="V76" s="22" t="n">
        <f aca="false">+T76*U76</f>
        <v>62.256494691007</v>
      </c>
    </row>
    <row r="77" customFormat="false" ht="12.8" hidden="false" customHeight="false" outlineLevel="0" collapsed="false">
      <c r="A77" s="11" t="n">
        <v>29</v>
      </c>
      <c r="B77" s="11" t="n">
        <v>1</v>
      </c>
      <c r="C77" s="24" t="s">
        <v>224</v>
      </c>
      <c r="D77" s="34" t="s">
        <v>225</v>
      </c>
      <c r="E77" s="35" t="s">
        <v>226</v>
      </c>
      <c r="F77" s="34" t="n">
        <v>139914</v>
      </c>
      <c r="G77" s="34" t="n">
        <v>5112</v>
      </c>
      <c r="H77" s="36" t="n">
        <v>0.0365</v>
      </c>
      <c r="I77" s="34" t="n">
        <v>199</v>
      </c>
      <c r="J77" s="37" t="n">
        <v>4.26</v>
      </c>
      <c r="K77" s="36" t="n">
        <v>0.0389</v>
      </c>
      <c r="L77" s="34" t="n">
        <v>201</v>
      </c>
      <c r="M77" s="27" t="n">
        <v>12972.07</v>
      </c>
      <c r="N77" s="38" t="n">
        <v>847.16</v>
      </c>
      <c r="O77" s="36" t="n">
        <v>0.0653</v>
      </c>
      <c r="P77" s="18" t="s">
        <v>227</v>
      </c>
      <c r="Q77" s="18" t="s">
        <v>228</v>
      </c>
      <c r="R77" s="18" t="n">
        <v>10</v>
      </c>
      <c r="S77" s="23" t="n">
        <v>0.281457388964633</v>
      </c>
      <c r="T77" s="20" t="n">
        <f aca="false">+S77*M77</f>
        <v>3651.08495166644</v>
      </c>
      <c r="U77" s="21" t="n">
        <f aca="false">+T77/M77</f>
        <v>0.281457388964633</v>
      </c>
      <c r="V77" s="22" t="n">
        <f aca="false">+T77*U77</f>
        <v>1027.6248373841</v>
      </c>
    </row>
    <row r="78" customFormat="false" ht="12.8" hidden="false" customHeight="false" outlineLevel="0" collapsed="false">
      <c r="A78" s="11" t="n">
        <v>30</v>
      </c>
      <c r="B78" s="11" t="n">
        <v>1</v>
      </c>
      <c r="C78" s="24" t="s">
        <v>224</v>
      </c>
      <c r="D78" s="34" t="s">
        <v>229</v>
      </c>
      <c r="E78" s="35" t="s">
        <v>230</v>
      </c>
      <c r="F78" s="34" t="n">
        <v>133588</v>
      </c>
      <c r="G78" s="34" t="n">
        <v>3611</v>
      </c>
      <c r="H78" s="36" t="n">
        <v>0.027</v>
      </c>
      <c r="I78" s="34" t="n">
        <v>116</v>
      </c>
      <c r="J78" s="37" t="n">
        <v>5.02</v>
      </c>
      <c r="K78" s="36" t="n">
        <v>0.0321</v>
      </c>
      <c r="L78" s="34" t="n">
        <v>119</v>
      </c>
      <c r="M78" s="27" t="n">
        <v>7845.79</v>
      </c>
      <c r="N78" s="38" t="n">
        <v>581.92</v>
      </c>
      <c r="O78" s="36" t="n">
        <v>0.0742</v>
      </c>
      <c r="P78" s="18" t="s">
        <v>227</v>
      </c>
      <c r="Q78" s="18" t="s">
        <v>228</v>
      </c>
      <c r="R78" s="18" t="n">
        <v>10</v>
      </c>
      <c r="S78" s="23" t="n">
        <v>0.281457388964633</v>
      </c>
      <c r="T78" s="20" t="n">
        <f aca="false">+S78*M78</f>
        <v>2208.25556776483</v>
      </c>
      <c r="U78" s="21" t="n">
        <f aca="false">+T78/M78</f>
        <v>0.281457388964633</v>
      </c>
      <c r="V78" s="22" t="n">
        <f aca="false">+T78*U78</f>
        <v>621.5298462697</v>
      </c>
    </row>
    <row r="79" customFormat="false" ht="12.8" hidden="false" customHeight="false" outlineLevel="0" collapsed="false">
      <c r="A79" s="11" t="n">
        <v>31</v>
      </c>
      <c r="B79" s="11" t="n">
        <v>1</v>
      </c>
      <c r="C79" s="24" t="s">
        <v>224</v>
      </c>
      <c r="D79" s="34" t="s">
        <v>231</v>
      </c>
      <c r="E79" s="35" t="s">
        <v>232</v>
      </c>
      <c r="F79" s="34" t="n">
        <v>114154</v>
      </c>
      <c r="G79" s="34" t="n">
        <v>3012</v>
      </c>
      <c r="H79" s="36" t="n">
        <v>0.0264</v>
      </c>
      <c r="I79" s="34" t="n">
        <v>119</v>
      </c>
      <c r="J79" s="37" t="n">
        <v>4.13</v>
      </c>
      <c r="K79" s="36" t="n">
        <v>0.0395</v>
      </c>
      <c r="L79" s="34" t="n">
        <v>120</v>
      </c>
      <c r="M79" s="27" t="n">
        <v>7706.9</v>
      </c>
      <c r="N79" s="38" t="n">
        <v>491.58</v>
      </c>
      <c r="O79" s="36" t="n">
        <v>0.0638</v>
      </c>
      <c r="P79" s="18" t="s">
        <v>227</v>
      </c>
      <c r="Q79" s="18" t="s">
        <v>228</v>
      </c>
      <c r="R79" s="18" t="n">
        <v>10</v>
      </c>
      <c r="S79" s="23" t="n">
        <v>0.281457388964633</v>
      </c>
      <c r="T79" s="20" t="n">
        <f aca="false">+S79*M79</f>
        <v>2169.16395101153</v>
      </c>
      <c r="U79" s="21" t="n">
        <f aca="false">+T79/M79</f>
        <v>0.281457388964633</v>
      </c>
      <c r="V79" s="22" t="n">
        <f aca="false">+T79*U79</f>
        <v>610.527221887911</v>
      </c>
    </row>
    <row r="80" customFormat="false" ht="12.8" hidden="false" customHeight="false" outlineLevel="0" collapsed="false">
      <c r="A80" s="11" t="n">
        <v>32</v>
      </c>
      <c r="B80" s="11" t="n">
        <v>1</v>
      </c>
      <c r="C80" s="24" t="s">
        <v>224</v>
      </c>
      <c r="D80" s="34" t="s">
        <v>233</v>
      </c>
      <c r="E80" s="35" t="s">
        <v>234</v>
      </c>
      <c r="F80" s="34" t="n">
        <v>35545</v>
      </c>
      <c r="G80" s="34" t="n">
        <v>1146</v>
      </c>
      <c r="H80" s="36" t="n">
        <v>0.0322</v>
      </c>
      <c r="I80" s="34" t="n">
        <v>37</v>
      </c>
      <c r="J80" s="37" t="n">
        <v>4.85</v>
      </c>
      <c r="K80" s="36" t="n">
        <v>0.0323</v>
      </c>
      <c r="L80" s="34" t="n">
        <v>38</v>
      </c>
      <c r="M80" s="27" t="n">
        <v>2451.2</v>
      </c>
      <c r="N80" s="38" t="n">
        <v>179.39</v>
      </c>
      <c r="O80" s="36" t="n">
        <v>0.0732</v>
      </c>
      <c r="P80" s="18" t="s">
        <v>227</v>
      </c>
      <c r="Q80" s="18" t="s">
        <v>228</v>
      </c>
      <c r="R80" s="18" t="n">
        <v>10</v>
      </c>
      <c r="S80" s="23" t="n">
        <v>0.281457388964633</v>
      </c>
      <c r="T80" s="20" t="n">
        <f aca="false">+S80*M80</f>
        <v>689.908351830108</v>
      </c>
      <c r="U80" s="21" t="n">
        <f aca="false">+T80/M80</f>
        <v>0.281457388964633</v>
      </c>
      <c r="V80" s="22" t="n">
        <f aca="false">+T80*U80</f>
        <v>194.179803330995</v>
      </c>
    </row>
    <row r="81" customFormat="false" ht="12.8" hidden="false" customHeight="false" outlineLevel="0" collapsed="false">
      <c r="A81" s="11" t="n">
        <v>33</v>
      </c>
      <c r="B81" s="11" t="n">
        <v>1</v>
      </c>
      <c r="C81" s="24" t="s">
        <v>224</v>
      </c>
      <c r="D81" s="34" t="s">
        <v>235</v>
      </c>
      <c r="E81" s="35" t="s">
        <v>236</v>
      </c>
      <c r="F81" s="34" t="n">
        <v>34495</v>
      </c>
      <c r="G81" s="34" t="n">
        <v>767</v>
      </c>
      <c r="H81" s="36" t="n">
        <v>0.0222</v>
      </c>
      <c r="I81" s="34" t="n">
        <v>22</v>
      </c>
      <c r="J81" s="37" t="n">
        <v>5.1</v>
      </c>
      <c r="K81" s="36" t="n">
        <v>0.0287</v>
      </c>
      <c r="L81" s="34" t="n">
        <v>22</v>
      </c>
      <c r="M81" s="27" t="n">
        <v>1433.16</v>
      </c>
      <c r="N81" s="38" t="n">
        <v>112.15</v>
      </c>
      <c r="O81" s="36" t="n">
        <v>0.0783</v>
      </c>
      <c r="P81" s="18" t="s">
        <v>227</v>
      </c>
      <c r="Q81" s="18" t="s">
        <v>228</v>
      </c>
      <c r="R81" s="18" t="n">
        <v>10</v>
      </c>
      <c r="S81" s="23" t="n">
        <v>0.281457388964633</v>
      </c>
      <c r="T81" s="20" t="n">
        <f aca="false">+S81*M81</f>
        <v>403.373471568553</v>
      </c>
      <c r="U81" s="21" t="n">
        <f aca="false">+T81/M81</f>
        <v>0.281457388964633</v>
      </c>
      <c r="V81" s="22" t="n">
        <f aca="false">+T81*U81</f>
        <v>113.532444085284</v>
      </c>
    </row>
    <row r="82" customFormat="false" ht="12.8" hidden="false" customHeight="false" outlineLevel="0" collapsed="false">
      <c r="A82" s="11" t="n">
        <v>34</v>
      </c>
      <c r="B82" s="11" t="n">
        <v>1</v>
      </c>
      <c r="C82" s="24" t="s">
        <v>224</v>
      </c>
      <c r="D82" s="34" t="s">
        <v>237</v>
      </c>
      <c r="E82" s="35" t="s">
        <v>238</v>
      </c>
      <c r="F82" s="34" t="n">
        <v>29409</v>
      </c>
      <c r="G82" s="34" t="n">
        <v>522</v>
      </c>
      <c r="H82" s="36" t="n">
        <v>0.0177</v>
      </c>
      <c r="I82" s="34" t="n">
        <v>14</v>
      </c>
      <c r="J82" s="37" t="n">
        <v>7.54</v>
      </c>
      <c r="K82" s="36" t="n">
        <v>0.0268</v>
      </c>
      <c r="L82" s="34" t="n">
        <v>14</v>
      </c>
      <c r="M82" s="27" t="n">
        <v>947.6</v>
      </c>
      <c r="N82" s="38" t="n">
        <v>105.59</v>
      </c>
      <c r="O82" s="36" t="n">
        <v>0.1114</v>
      </c>
      <c r="P82" s="18" t="s">
        <v>227</v>
      </c>
      <c r="Q82" s="18" t="s">
        <v>228</v>
      </c>
      <c r="R82" s="18" t="n">
        <v>10</v>
      </c>
      <c r="S82" s="23" t="n">
        <v>0.281457388964633</v>
      </c>
      <c r="T82" s="20" t="n">
        <f aca="false">+S82*M82</f>
        <v>266.709021782886</v>
      </c>
      <c r="U82" s="21" t="n">
        <f aca="false">+T82/M82</f>
        <v>0.281457388964633</v>
      </c>
      <c r="V82" s="22" t="n">
        <f aca="false">+T82*U82</f>
        <v>75.0672248843224</v>
      </c>
    </row>
    <row r="83" customFormat="false" ht="12.8" hidden="false" customHeight="false" outlineLevel="0" collapsed="false">
      <c r="A83" s="11" t="n">
        <v>35</v>
      </c>
      <c r="B83" s="11" t="n">
        <v>1</v>
      </c>
      <c r="C83" s="24" t="s">
        <v>224</v>
      </c>
      <c r="D83" s="34" t="s">
        <v>239</v>
      </c>
      <c r="E83" s="35" t="s">
        <v>240</v>
      </c>
      <c r="F83" s="34" t="n">
        <v>17355</v>
      </c>
      <c r="G83" s="34" t="n">
        <v>407</v>
      </c>
      <c r="H83" s="36" t="n">
        <v>0.0235</v>
      </c>
      <c r="I83" s="34" t="n">
        <v>19</v>
      </c>
      <c r="J83" s="37" t="n">
        <v>5.51</v>
      </c>
      <c r="K83" s="36" t="n">
        <v>0.0467</v>
      </c>
      <c r="L83" s="34" t="n">
        <v>19</v>
      </c>
      <c r="M83" s="27" t="n">
        <v>1014</v>
      </c>
      <c r="N83" s="38" t="n">
        <v>104.62</v>
      </c>
      <c r="O83" s="36" t="n">
        <v>0.0939</v>
      </c>
      <c r="P83" s="18" t="s">
        <v>227</v>
      </c>
      <c r="Q83" s="18" t="s">
        <v>228</v>
      </c>
      <c r="R83" s="18" t="n">
        <v>10</v>
      </c>
      <c r="S83" s="23" t="n">
        <v>0.281457388964633</v>
      </c>
      <c r="T83" s="20" t="n">
        <f aca="false">+S83*M83</f>
        <v>285.397792410138</v>
      </c>
      <c r="U83" s="21" t="n">
        <f aca="false">+T83/M83</f>
        <v>0.281457388964633</v>
      </c>
      <c r="V83" s="22" t="n">
        <f aca="false">+T83*U83</f>
        <v>80.3273174680276</v>
      </c>
    </row>
    <row r="84" customFormat="false" ht="12.8" hidden="false" customHeight="false" outlineLevel="0" collapsed="false">
      <c r="A84" s="11" t="n">
        <v>37</v>
      </c>
      <c r="B84" s="11" t="n">
        <v>1</v>
      </c>
      <c r="C84" s="24" t="s">
        <v>224</v>
      </c>
      <c r="D84" s="34" t="s">
        <v>241</v>
      </c>
      <c r="E84" s="35" t="s">
        <v>242</v>
      </c>
      <c r="F84" s="34" t="n">
        <v>23004</v>
      </c>
      <c r="G84" s="34" t="n">
        <v>357</v>
      </c>
      <c r="H84" s="36" t="n">
        <v>0.0155</v>
      </c>
      <c r="I84" s="34" t="n">
        <v>15</v>
      </c>
      <c r="J84" s="37" t="n">
        <v>5.03</v>
      </c>
      <c r="K84" s="36" t="n">
        <v>0.042</v>
      </c>
      <c r="L84" s="34" t="n">
        <v>15</v>
      </c>
      <c r="M84" s="27" t="n">
        <v>1113.8</v>
      </c>
      <c r="N84" s="38" t="n">
        <v>75.44</v>
      </c>
      <c r="O84" s="36" t="n">
        <v>0.0763</v>
      </c>
      <c r="P84" s="18" t="s">
        <v>227</v>
      </c>
      <c r="Q84" s="18" t="s">
        <v>228</v>
      </c>
      <c r="R84" s="18" t="n">
        <v>10</v>
      </c>
      <c r="S84" s="23" t="n">
        <v>0.281457388964633</v>
      </c>
      <c r="T84" s="20" t="n">
        <f aca="false">+S84*M84</f>
        <v>313.487239828808</v>
      </c>
      <c r="U84" s="21" t="n">
        <f aca="false">+T84/M84</f>
        <v>0.281457388964633</v>
      </c>
      <c r="V84" s="22" t="n">
        <f aca="false">+T84*U84</f>
        <v>88.2332999959459</v>
      </c>
    </row>
    <row r="85" customFormat="false" ht="12.8" hidden="false" customHeight="false" outlineLevel="0" collapsed="false">
      <c r="A85" s="11" t="n">
        <v>38</v>
      </c>
      <c r="B85" s="11" t="n">
        <v>1</v>
      </c>
      <c r="C85" s="24" t="s">
        <v>224</v>
      </c>
      <c r="D85" s="34" t="s">
        <v>243</v>
      </c>
      <c r="E85" s="35" t="s">
        <v>244</v>
      </c>
      <c r="F85" s="34" t="n">
        <v>13737</v>
      </c>
      <c r="G85" s="34" t="n">
        <v>267</v>
      </c>
      <c r="H85" s="36" t="n">
        <v>0.0194</v>
      </c>
      <c r="I85" s="34" t="n">
        <v>13</v>
      </c>
      <c r="J85" s="37" t="n">
        <v>5.72</v>
      </c>
      <c r="K85" s="36" t="n">
        <v>0.0487</v>
      </c>
      <c r="L85" s="34" t="n">
        <v>13</v>
      </c>
      <c r="M85" s="27" t="n">
        <v>876.7</v>
      </c>
      <c r="N85" s="38" t="n">
        <v>74.41</v>
      </c>
      <c r="O85" s="36" t="n">
        <v>0.0849</v>
      </c>
      <c r="P85" s="18" t="s">
        <v>227</v>
      </c>
      <c r="Q85" s="18" t="s">
        <v>228</v>
      </c>
      <c r="R85" s="18" t="n">
        <v>10</v>
      </c>
      <c r="S85" s="23" t="n">
        <v>0.281457388964633</v>
      </c>
      <c r="T85" s="20" t="n">
        <f aca="false">+S85*M85</f>
        <v>246.753692905293</v>
      </c>
      <c r="U85" s="21" t="n">
        <f aca="false">+T85/M85</f>
        <v>0.281457388964633</v>
      </c>
      <c r="V85" s="22" t="n">
        <f aca="false">+T85*U85</f>
        <v>69.4506501225047</v>
      </c>
    </row>
    <row r="86" customFormat="false" ht="12.8" hidden="false" customHeight="false" outlineLevel="0" collapsed="false">
      <c r="A86" s="11" t="n">
        <v>93</v>
      </c>
      <c r="B86" s="11" t="n">
        <v>3</v>
      </c>
      <c r="C86" s="24" t="s">
        <v>224</v>
      </c>
      <c r="D86" s="28" t="n">
        <v>22695573910</v>
      </c>
      <c r="E86" s="29" t="s">
        <v>245</v>
      </c>
      <c r="F86" s="28" t="n">
        <v>23582</v>
      </c>
      <c r="G86" s="28" t="n">
        <v>466</v>
      </c>
      <c r="H86" s="28" t="s">
        <v>164</v>
      </c>
      <c r="I86" s="28" t="n">
        <v>18</v>
      </c>
      <c r="J86" s="28" t="n">
        <v>6.54</v>
      </c>
      <c r="K86" s="30" t="n">
        <v>0.0386</v>
      </c>
      <c r="L86" s="28" t="n">
        <v>19</v>
      </c>
      <c r="M86" s="31" t="n">
        <v>1160.74</v>
      </c>
      <c r="N86" s="32" t="n">
        <v>117.75</v>
      </c>
      <c r="O86" s="30" t="n">
        <v>0.1014</v>
      </c>
      <c r="P86" s="18" t="s">
        <v>227</v>
      </c>
      <c r="Q86" s="18" t="s">
        <v>228</v>
      </c>
      <c r="R86" s="18" t="n">
        <v>10</v>
      </c>
      <c r="S86" s="23" t="n">
        <v>0.281457388964633</v>
      </c>
      <c r="T86" s="20" t="n">
        <f aca="false">+S86*M86</f>
        <v>326.698849666808</v>
      </c>
      <c r="U86" s="21" t="n">
        <f aca="false">+T86/M86</f>
        <v>0.281457388964633</v>
      </c>
      <c r="V86" s="22" t="n">
        <f aca="false">+T86*U86</f>
        <v>91.9518052049688</v>
      </c>
    </row>
    <row r="87" customFormat="false" ht="12.8" hidden="false" customHeight="false" outlineLevel="0" collapsed="false">
      <c r="A87" s="11" t="n">
        <v>94</v>
      </c>
      <c r="B87" s="11" t="n">
        <v>3</v>
      </c>
      <c r="C87" s="24" t="s">
        <v>224</v>
      </c>
      <c r="D87" s="28" t="n">
        <v>23997394407</v>
      </c>
      <c r="E87" s="29" t="s">
        <v>246</v>
      </c>
      <c r="F87" s="28" t="n">
        <v>151144</v>
      </c>
      <c r="G87" s="28" t="n">
        <v>3596</v>
      </c>
      <c r="H87" s="28" t="s">
        <v>247</v>
      </c>
      <c r="I87" s="28" t="n">
        <v>127</v>
      </c>
      <c r="J87" s="28" t="n">
        <v>4.64</v>
      </c>
      <c r="K87" s="30" t="n">
        <v>0.0353</v>
      </c>
      <c r="L87" s="28" t="n">
        <v>131</v>
      </c>
      <c r="M87" s="31" t="n">
        <v>8952.21</v>
      </c>
      <c r="N87" s="32" t="n">
        <v>589.32</v>
      </c>
      <c r="O87" s="30" t="n">
        <v>0.0658</v>
      </c>
      <c r="P87" s="18" t="s">
        <v>227</v>
      </c>
      <c r="Q87" s="18" t="s">
        <v>228</v>
      </c>
      <c r="R87" s="18" t="n">
        <v>10</v>
      </c>
      <c r="S87" s="23" t="n">
        <v>0.281457388964633</v>
      </c>
      <c r="T87" s="20" t="n">
        <f aca="false">+S87*M87</f>
        <v>2519.66565206307</v>
      </c>
      <c r="U87" s="21" t="n">
        <f aca="false">+T87/M87</f>
        <v>0.281457388964633</v>
      </c>
      <c r="V87" s="22" t="n">
        <f aca="false">+T87*U87</f>
        <v>709.178515493541</v>
      </c>
    </row>
    <row r="88" customFormat="false" ht="12.8" hidden="false" customHeight="false" outlineLevel="0" collapsed="false">
      <c r="A88" s="11" t="n">
        <v>95</v>
      </c>
      <c r="B88" s="11" t="n">
        <v>3</v>
      </c>
      <c r="C88" s="24" t="s">
        <v>224</v>
      </c>
      <c r="D88" s="28" t="n">
        <v>22395579066</v>
      </c>
      <c r="E88" s="29" t="s">
        <v>248</v>
      </c>
      <c r="F88" s="28" t="n">
        <v>13839</v>
      </c>
      <c r="G88" s="28" t="n">
        <v>329</v>
      </c>
      <c r="H88" s="28" t="s">
        <v>247</v>
      </c>
      <c r="I88" s="28" t="n">
        <v>11</v>
      </c>
      <c r="J88" s="28" t="n">
        <v>6.39</v>
      </c>
      <c r="K88" s="30" t="n">
        <v>0.0334</v>
      </c>
      <c r="L88" s="28" t="n">
        <v>11</v>
      </c>
      <c r="M88" s="31" t="n">
        <v>724.48</v>
      </c>
      <c r="N88" s="32" t="n">
        <v>70.26</v>
      </c>
      <c r="O88" s="30" t="n">
        <v>0.097</v>
      </c>
      <c r="P88" s="18" t="s">
        <v>227</v>
      </c>
      <c r="Q88" s="18" t="s">
        <v>228</v>
      </c>
      <c r="R88" s="18" t="n">
        <v>10</v>
      </c>
      <c r="S88" s="23" t="n">
        <v>0.281457388964633</v>
      </c>
      <c r="T88" s="20" t="n">
        <f aca="false">+S88*M88</f>
        <v>203.910249157097</v>
      </c>
      <c r="U88" s="21" t="n">
        <f aca="false">+T88/M88</f>
        <v>0.281457388964633</v>
      </c>
      <c r="V88" s="22" t="n">
        <f aca="false">+T88*U88</f>
        <v>57.3920463108842</v>
      </c>
    </row>
    <row r="89" customFormat="false" ht="12.8" hidden="false" customHeight="false" outlineLevel="0" collapsed="false">
      <c r="A89" s="11" t="n">
        <v>96</v>
      </c>
      <c r="B89" s="11" t="n">
        <v>3</v>
      </c>
      <c r="C89" s="24" t="s">
        <v>249</v>
      </c>
      <c r="D89" s="28" t="n">
        <v>22197320073</v>
      </c>
      <c r="E89" s="29" t="s">
        <v>250</v>
      </c>
      <c r="F89" s="28" t="n">
        <v>12211</v>
      </c>
      <c r="G89" s="28" t="n">
        <v>236</v>
      </c>
      <c r="H89" s="28" t="s">
        <v>251</v>
      </c>
      <c r="I89" s="28" t="n">
        <v>9</v>
      </c>
      <c r="J89" s="28" t="n">
        <v>7.08</v>
      </c>
      <c r="K89" s="30" t="n">
        <v>0.0381</v>
      </c>
      <c r="L89" s="28" t="n">
        <v>10</v>
      </c>
      <c r="M89" s="31" t="n">
        <v>498.03</v>
      </c>
      <c r="N89" s="32" t="n">
        <v>63.72</v>
      </c>
      <c r="O89" s="30" t="n">
        <v>0.1279</v>
      </c>
      <c r="P89" s="18" t="s">
        <v>227</v>
      </c>
      <c r="Q89" s="18" t="s">
        <v>228</v>
      </c>
      <c r="R89" s="18" t="n">
        <v>3</v>
      </c>
      <c r="S89" s="23" t="n">
        <v>0.382373453037256</v>
      </c>
      <c r="T89" s="20" t="n">
        <f aca="false">+S89*M89</f>
        <v>190.433450816145</v>
      </c>
      <c r="U89" s="21" t="n">
        <f aca="false">+T89/M89</f>
        <v>0.382373453037256</v>
      </c>
      <c r="V89" s="22" t="n">
        <f aca="false">+T89*U89</f>
        <v>72.8166961623697</v>
      </c>
    </row>
    <row r="90" customFormat="false" ht="12.8" hidden="false" customHeight="false" outlineLevel="0" collapsed="false">
      <c r="A90" s="11" t="n">
        <v>97</v>
      </c>
      <c r="B90" s="11" t="n">
        <v>3</v>
      </c>
      <c r="C90" s="24" t="s">
        <v>249</v>
      </c>
      <c r="D90" s="28" t="n">
        <v>23697389359</v>
      </c>
      <c r="E90" s="29" t="s">
        <v>252</v>
      </c>
      <c r="F90" s="28" t="n">
        <v>8100</v>
      </c>
      <c r="G90" s="28" t="n">
        <v>127</v>
      </c>
      <c r="H90" s="28" t="s">
        <v>253</v>
      </c>
      <c r="I90" s="28" t="n">
        <v>0</v>
      </c>
      <c r="J90" s="28" t="n">
        <v>0</v>
      </c>
      <c r="K90" s="30" t="n">
        <v>0</v>
      </c>
      <c r="L90" s="28" t="n">
        <v>0</v>
      </c>
      <c r="M90" s="31" t="n">
        <v>0</v>
      </c>
      <c r="N90" s="32" t="n">
        <v>7.44</v>
      </c>
      <c r="O90" s="30" t="n">
        <v>0</v>
      </c>
      <c r="P90" s="18" t="s">
        <v>227</v>
      </c>
      <c r="Q90" s="18" t="s">
        <v>228</v>
      </c>
      <c r="R90" s="18" t="n">
        <v>3</v>
      </c>
      <c r="S90" s="23" t="n">
        <v>0.382373453037256</v>
      </c>
      <c r="T90" s="20" t="n">
        <f aca="false">+S90*M90</f>
        <v>0</v>
      </c>
      <c r="U90" s="21" t="e">
        <f aca="false">+T90/M90</f>
        <v>#DIV/0!</v>
      </c>
      <c r="V90" s="22" t="e">
        <f aca="false">+T90*U90</f>
        <v>#DIV/0!</v>
      </c>
    </row>
    <row r="91" customFormat="false" ht="12.8" hidden="false" customHeight="false" outlineLevel="0" collapsed="false">
      <c r="A91" s="11" t="n">
        <v>36</v>
      </c>
      <c r="B91" s="11" t="n">
        <v>1</v>
      </c>
      <c r="C91" s="24" t="s">
        <v>254</v>
      </c>
      <c r="D91" s="34" t="s">
        <v>255</v>
      </c>
      <c r="E91" s="35" t="s">
        <v>256</v>
      </c>
      <c r="F91" s="34" t="n">
        <v>26794</v>
      </c>
      <c r="G91" s="34" t="n">
        <v>581</v>
      </c>
      <c r="H91" s="36" t="n">
        <v>0.0217</v>
      </c>
      <c r="I91" s="34" t="n">
        <v>20</v>
      </c>
      <c r="J91" s="37" t="n">
        <v>4.45</v>
      </c>
      <c r="K91" s="36" t="n">
        <v>0.0344</v>
      </c>
      <c r="L91" s="34" t="n">
        <v>20</v>
      </c>
      <c r="M91" s="27" t="n">
        <v>988.43</v>
      </c>
      <c r="N91" s="38" t="n">
        <v>89.08</v>
      </c>
      <c r="O91" s="36" t="n">
        <v>0.0878</v>
      </c>
      <c r="P91" s="18" t="s">
        <v>227</v>
      </c>
      <c r="Q91" s="18" t="s">
        <v>228</v>
      </c>
      <c r="R91" s="18" t="n">
        <v>5</v>
      </c>
      <c r="S91" s="23" t="n">
        <v>0.343314989131067</v>
      </c>
      <c r="T91" s="20" t="n">
        <f aca="false">+S91*M91</f>
        <v>339.342834706821</v>
      </c>
      <c r="U91" s="21" t="n">
        <f aca="false">+T91/M91</f>
        <v>0.343314989131067</v>
      </c>
      <c r="V91" s="22" t="n">
        <f aca="false">+T91*U91</f>
        <v>116.501481609078</v>
      </c>
    </row>
    <row r="92" customFormat="false" ht="12.8" hidden="false" customHeight="false" outlineLevel="0" collapsed="false">
      <c r="A92" s="11" t="n">
        <v>91</v>
      </c>
      <c r="B92" s="11" t="n">
        <v>3</v>
      </c>
      <c r="C92" s="24" t="s">
        <v>254</v>
      </c>
      <c r="D92" s="28" t="n">
        <v>23792918193</v>
      </c>
      <c r="E92" s="29" t="s">
        <v>257</v>
      </c>
      <c r="F92" s="28" t="n">
        <v>46939</v>
      </c>
      <c r="G92" s="28" t="n">
        <v>1210</v>
      </c>
      <c r="H92" s="28" t="s">
        <v>258</v>
      </c>
      <c r="I92" s="28" t="n">
        <v>60</v>
      </c>
      <c r="J92" s="28" t="n">
        <v>3.87</v>
      </c>
      <c r="K92" s="30" t="n">
        <v>0.0496</v>
      </c>
      <c r="L92" s="28" t="n">
        <v>62</v>
      </c>
      <c r="M92" s="31" t="n">
        <v>3031.8</v>
      </c>
      <c r="N92" s="32" t="n">
        <v>232.34</v>
      </c>
      <c r="O92" s="30" t="n">
        <v>0.0766</v>
      </c>
      <c r="P92" s="18" t="s">
        <v>227</v>
      </c>
      <c r="Q92" s="18" t="s">
        <v>228</v>
      </c>
      <c r="R92" s="18" t="n">
        <v>5</v>
      </c>
      <c r="S92" s="23" t="n">
        <v>0.343314989131067</v>
      </c>
      <c r="T92" s="20" t="n">
        <f aca="false">+S92*M92</f>
        <v>1040.86238404757</v>
      </c>
      <c r="U92" s="21" t="n">
        <f aca="false">+T92/M92</f>
        <v>0.343314989131067</v>
      </c>
      <c r="V92" s="22" t="n">
        <f aca="false">+T92*U92</f>
        <v>357.343658066228</v>
      </c>
    </row>
    <row r="93" customFormat="false" ht="12.8" hidden="false" customHeight="false" outlineLevel="0" collapsed="false">
      <c r="A93" s="11" t="n">
        <v>92</v>
      </c>
      <c r="B93" s="11" t="n">
        <v>3</v>
      </c>
      <c r="C93" s="24" t="s">
        <v>254</v>
      </c>
      <c r="D93" s="28" t="n">
        <v>20699227781</v>
      </c>
      <c r="E93" s="29" t="s">
        <v>259</v>
      </c>
      <c r="F93" s="28" t="n">
        <v>21051</v>
      </c>
      <c r="G93" s="28" t="n">
        <v>575</v>
      </c>
      <c r="H93" s="28" t="s">
        <v>260</v>
      </c>
      <c r="I93" s="28" t="n">
        <v>22</v>
      </c>
      <c r="J93" s="28" t="n">
        <v>4.19</v>
      </c>
      <c r="K93" s="30" t="n">
        <v>0.0383</v>
      </c>
      <c r="L93" s="28" t="n">
        <v>24</v>
      </c>
      <c r="M93" s="31" t="n">
        <v>1220.33</v>
      </c>
      <c r="N93" s="32" t="n">
        <v>92.28</v>
      </c>
      <c r="O93" s="30" t="n">
        <v>0.0756</v>
      </c>
      <c r="P93" s="18" t="s">
        <v>227</v>
      </c>
      <c r="Q93" s="18" t="s">
        <v>228</v>
      </c>
      <c r="R93" s="18" t="n">
        <v>10</v>
      </c>
      <c r="S93" s="23" t="n">
        <v>0.281457388964633</v>
      </c>
      <c r="T93" s="20" t="n">
        <f aca="false">+S93*M93</f>
        <v>343.47089547521</v>
      </c>
      <c r="U93" s="21" t="n">
        <f aca="false">+T93/M93</f>
        <v>0.281457388964633</v>
      </c>
      <c r="V93" s="22" t="n">
        <f aca="false">+T93*U93</f>
        <v>96.6724214257969</v>
      </c>
    </row>
    <row r="94" customFormat="false" ht="12.8" hidden="false" customHeight="false" outlineLevel="0" collapsed="false">
      <c r="A94" s="11" t="n">
        <v>98</v>
      </c>
      <c r="B94" s="11" t="n">
        <v>3</v>
      </c>
      <c r="C94" s="24" t="s">
        <v>254</v>
      </c>
      <c r="D94" s="28" t="n">
        <v>23797452997</v>
      </c>
      <c r="E94" s="29" t="s">
        <v>261</v>
      </c>
      <c r="F94" s="28" t="n">
        <v>18843</v>
      </c>
      <c r="G94" s="28" t="n">
        <v>392</v>
      </c>
      <c r="H94" s="28" t="s">
        <v>262</v>
      </c>
      <c r="I94" s="28" t="n">
        <v>17</v>
      </c>
      <c r="J94" s="28" t="n">
        <v>4.18</v>
      </c>
      <c r="K94" s="30" t="n">
        <v>0.0434</v>
      </c>
      <c r="L94" s="28" t="n">
        <v>17</v>
      </c>
      <c r="M94" s="31" t="n">
        <v>760.3</v>
      </c>
      <c r="N94" s="32" t="n">
        <v>71.12</v>
      </c>
      <c r="O94" s="30" t="n">
        <v>0.0935</v>
      </c>
      <c r="P94" s="18" t="s">
        <v>227</v>
      </c>
      <c r="Q94" s="18" t="s">
        <v>228</v>
      </c>
      <c r="R94" s="18" t="n">
        <v>5</v>
      </c>
      <c r="S94" s="23" t="n">
        <v>0.343314989131067</v>
      </c>
      <c r="T94" s="20" t="n">
        <f aca="false">+S94*M94</f>
        <v>261.02238623635</v>
      </c>
      <c r="U94" s="21" t="n">
        <f aca="false">+T94/M94</f>
        <v>0.343314989131067</v>
      </c>
      <c r="V94" s="22" t="n">
        <f aca="false">+T94*U94</f>
        <v>89.6128976936978</v>
      </c>
    </row>
    <row r="95" customFormat="false" ht="12.8" hidden="false" customHeight="false" outlineLevel="0" collapsed="false">
      <c r="A95" s="11" t="n">
        <v>99</v>
      </c>
      <c r="B95" s="11" t="n">
        <v>3</v>
      </c>
      <c r="C95" s="24" t="s">
        <v>254</v>
      </c>
      <c r="D95" s="28" t="n">
        <v>23896708715</v>
      </c>
      <c r="E95" s="29" t="s">
        <v>263</v>
      </c>
      <c r="F95" s="28" t="n">
        <v>6338</v>
      </c>
      <c r="G95" s="28" t="n">
        <v>147</v>
      </c>
      <c r="H95" s="28" t="s">
        <v>264</v>
      </c>
      <c r="I95" s="28" t="n">
        <v>1</v>
      </c>
      <c r="J95" s="28" t="n">
        <v>28.56</v>
      </c>
      <c r="K95" s="30" t="n">
        <v>0.0068</v>
      </c>
      <c r="L95" s="28" t="n">
        <v>1</v>
      </c>
      <c r="M95" s="31" t="n">
        <v>59.9</v>
      </c>
      <c r="N95" s="32" t="n">
        <v>28.56</v>
      </c>
      <c r="O95" s="30" t="n">
        <v>0.4767</v>
      </c>
      <c r="P95" s="18" t="s">
        <v>227</v>
      </c>
      <c r="Q95" s="18" t="s">
        <v>228</v>
      </c>
      <c r="R95" s="18" t="n">
        <v>5</v>
      </c>
      <c r="S95" s="23" t="n">
        <v>0.343314989131067</v>
      </c>
      <c r="T95" s="20" t="n">
        <f aca="false">+S95*M95</f>
        <v>20.5645678489509</v>
      </c>
      <c r="U95" s="21" t="n">
        <f aca="false">+T95/M95</f>
        <v>0.343314989131067</v>
      </c>
      <c r="V95" s="22" t="n">
        <f aca="false">+T95*U95</f>
        <v>7.06012438754768</v>
      </c>
    </row>
    <row r="96" customFormat="false" ht="12.8" hidden="false" customHeight="false" outlineLevel="0" collapsed="false">
      <c r="A96" s="11" t="n">
        <v>100</v>
      </c>
      <c r="B96" s="11" t="n">
        <v>3</v>
      </c>
      <c r="C96" s="24" t="s">
        <v>254</v>
      </c>
      <c r="D96" s="28" t="n">
        <v>19699233607</v>
      </c>
      <c r="E96" s="29" t="s">
        <v>265</v>
      </c>
      <c r="F96" s="28" t="n">
        <v>10510</v>
      </c>
      <c r="G96" s="28" t="n">
        <v>257</v>
      </c>
      <c r="H96" s="28" t="s">
        <v>266</v>
      </c>
      <c r="I96" s="28" t="n">
        <v>18</v>
      </c>
      <c r="J96" s="28" t="n">
        <v>3.52</v>
      </c>
      <c r="K96" s="30" t="n">
        <v>0.07</v>
      </c>
      <c r="L96" s="28" t="n">
        <v>18</v>
      </c>
      <c r="M96" s="31" t="n">
        <v>880.2</v>
      </c>
      <c r="N96" s="32" t="n">
        <v>63.45</v>
      </c>
      <c r="O96" s="30" t="n">
        <v>0.0721</v>
      </c>
      <c r="P96" s="18" t="s">
        <v>227</v>
      </c>
      <c r="Q96" s="18" t="s">
        <v>228</v>
      </c>
      <c r="R96" s="18" t="n">
        <v>5</v>
      </c>
      <c r="S96" s="23" t="n">
        <v>0.343314989131067</v>
      </c>
      <c r="T96" s="20" t="n">
        <f aca="false">+S96*M96</f>
        <v>302.185853433165</v>
      </c>
      <c r="U96" s="21" t="n">
        <f aca="false">+T96/M96</f>
        <v>0.343314989131067</v>
      </c>
      <c r="V96" s="22" t="n">
        <f aca="false">+T96*U96</f>
        <v>103.744932986969</v>
      </c>
    </row>
    <row r="97" customFormat="false" ht="12.8" hidden="false" customHeight="false" outlineLevel="0" collapsed="false">
      <c r="A97" s="11" t="n">
        <v>101</v>
      </c>
      <c r="B97" s="11" t="n">
        <v>3</v>
      </c>
      <c r="C97" s="24" t="s">
        <v>254</v>
      </c>
      <c r="D97" s="28" t="n">
        <v>22397421387</v>
      </c>
      <c r="E97" s="29" t="s">
        <v>267</v>
      </c>
      <c r="F97" s="28" t="n">
        <v>40123</v>
      </c>
      <c r="G97" s="28" t="n">
        <v>1323</v>
      </c>
      <c r="H97" s="28" t="s">
        <v>268</v>
      </c>
      <c r="I97" s="28" t="n">
        <v>55</v>
      </c>
      <c r="J97" s="28" t="n">
        <v>3.81</v>
      </c>
      <c r="K97" s="30" t="n">
        <v>0.0416</v>
      </c>
      <c r="L97" s="28" t="n">
        <v>56</v>
      </c>
      <c r="M97" s="31" t="n">
        <v>2755.51</v>
      </c>
      <c r="N97" s="32" t="n">
        <v>209.34</v>
      </c>
      <c r="O97" s="30" t="n">
        <v>0.076</v>
      </c>
      <c r="P97" s="18" t="s">
        <v>227</v>
      </c>
      <c r="Q97" s="18" t="s">
        <v>228</v>
      </c>
      <c r="R97" s="18" t="n">
        <v>5</v>
      </c>
      <c r="S97" s="23" t="n">
        <v>0.343314989131067</v>
      </c>
      <c r="T97" s="20" t="n">
        <f aca="false">+S97*M97</f>
        <v>946.007885700547</v>
      </c>
      <c r="U97" s="21" t="n">
        <f aca="false">+T97/M97</f>
        <v>0.343314989131067</v>
      </c>
      <c r="V97" s="22" t="n">
        <f aca="false">+T97*U97</f>
        <v>324.778686997187</v>
      </c>
    </row>
    <row r="98" customFormat="false" ht="12.8" hidden="false" customHeight="false" outlineLevel="0" collapsed="false">
      <c r="A98" s="11" t="n">
        <v>102</v>
      </c>
      <c r="B98" s="11" t="n">
        <v>3</v>
      </c>
      <c r="C98" s="24" t="s">
        <v>254</v>
      </c>
      <c r="D98" s="28" t="n">
        <v>23797453001</v>
      </c>
      <c r="E98" s="29" t="s">
        <v>269</v>
      </c>
      <c r="F98" s="28" t="n">
        <v>180331</v>
      </c>
      <c r="G98" s="28" t="n">
        <v>5138</v>
      </c>
      <c r="H98" s="28" t="s">
        <v>270</v>
      </c>
      <c r="I98" s="28" t="n">
        <v>251</v>
      </c>
      <c r="J98" s="28" t="n">
        <v>2.9</v>
      </c>
      <c r="K98" s="30" t="n">
        <v>0.0489</v>
      </c>
      <c r="L98" s="28" t="n">
        <v>255</v>
      </c>
      <c r="M98" s="31" t="n">
        <v>10733.43</v>
      </c>
      <c r="N98" s="32" t="n">
        <v>728.26</v>
      </c>
      <c r="O98" s="30" t="n">
        <v>0.0679</v>
      </c>
      <c r="P98" s="18" t="s">
        <v>227</v>
      </c>
      <c r="Q98" s="18" t="s">
        <v>228</v>
      </c>
      <c r="R98" s="18" t="n">
        <v>5</v>
      </c>
      <c r="S98" s="23" t="n">
        <v>0.343314989131067</v>
      </c>
      <c r="T98" s="20" t="n">
        <f aca="false">+S98*M98</f>
        <v>3684.94740378907</v>
      </c>
      <c r="U98" s="21" t="n">
        <f aca="false">+T98/M98</f>
        <v>0.343314989131067</v>
      </c>
      <c r="V98" s="22" t="n">
        <f aca="false">+T98*U98</f>
        <v>1265.0976778804</v>
      </c>
    </row>
    <row r="99" customFormat="false" ht="12.8" hidden="false" customHeight="false" outlineLevel="0" collapsed="false">
      <c r="A99" s="11" t="n">
        <v>103</v>
      </c>
      <c r="B99" s="11" t="n">
        <v>3</v>
      </c>
      <c r="C99" s="24" t="s">
        <v>254</v>
      </c>
      <c r="D99" s="28" t="n">
        <v>19197628112</v>
      </c>
      <c r="E99" s="29" t="s">
        <v>271</v>
      </c>
      <c r="F99" s="28" t="n">
        <v>120719</v>
      </c>
      <c r="G99" s="28" t="n">
        <v>3283</v>
      </c>
      <c r="H99" s="28" t="s">
        <v>272</v>
      </c>
      <c r="I99" s="28" t="n">
        <v>148</v>
      </c>
      <c r="J99" s="28" t="n">
        <v>3.17</v>
      </c>
      <c r="K99" s="30" t="n">
        <v>0.0451</v>
      </c>
      <c r="L99" s="28" t="n">
        <v>151</v>
      </c>
      <c r="M99" s="31" t="n">
        <v>7050.08</v>
      </c>
      <c r="N99" s="32" t="n">
        <v>469.67</v>
      </c>
      <c r="O99" s="30" t="n">
        <v>0.0666</v>
      </c>
      <c r="P99" s="18" t="s">
        <v>227</v>
      </c>
      <c r="Q99" s="18" t="s">
        <v>228</v>
      </c>
      <c r="R99" s="18" t="n">
        <v>5</v>
      </c>
      <c r="S99" s="23" t="n">
        <v>0.343314989131067</v>
      </c>
      <c r="T99" s="20" t="n">
        <f aca="false">+S99*M99</f>
        <v>2420.39813857315</v>
      </c>
      <c r="U99" s="21" t="n">
        <f aca="false">+T99/M99</f>
        <v>0.343314989131067</v>
      </c>
      <c r="V99" s="22" t="n">
        <f aca="false">+T99*U99</f>
        <v>830.958960637098</v>
      </c>
    </row>
    <row r="100" customFormat="false" ht="12.8" hidden="false" customHeight="false" outlineLevel="0" collapsed="false">
      <c r="A100" s="11" t="n">
        <v>90</v>
      </c>
      <c r="B100" s="11" t="n">
        <v>3</v>
      </c>
      <c r="C100" s="24" t="s">
        <v>273</v>
      </c>
      <c r="D100" s="28" t="n">
        <v>22896684408</v>
      </c>
      <c r="E100" s="29" t="s">
        <v>274</v>
      </c>
      <c r="F100" s="28" t="n">
        <v>74688</v>
      </c>
      <c r="G100" s="28" t="n">
        <v>1280</v>
      </c>
      <c r="H100" s="28" t="s">
        <v>207</v>
      </c>
      <c r="I100" s="28" t="n">
        <v>41</v>
      </c>
      <c r="J100" s="28" t="n">
        <v>6.69</v>
      </c>
      <c r="K100" s="30" t="n">
        <v>0.032</v>
      </c>
      <c r="L100" s="28" t="n">
        <v>68</v>
      </c>
      <c r="M100" s="31" t="n">
        <v>3467.41</v>
      </c>
      <c r="N100" s="32" t="n">
        <v>274.49</v>
      </c>
      <c r="O100" s="30" t="n">
        <v>0.0792</v>
      </c>
      <c r="P100" s="18" t="s">
        <v>275</v>
      </c>
      <c r="Q100" s="18" t="s">
        <v>228</v>
      </c>
      <c r="R100" s="18" t="n">
        <v>10</v>
      </c>
      <c r="S100" s="23" t="n">
        <v>0.317430856364178</v>
      </c>
      <c r="T100" s="20" t="n">
        <f aca="false">+S100*M100</f>
        <v>1100.66292566571</v>
      </c>
      <c r="U100" s="21" t="n">
        <f aca="false">+T100/M100</f>
        <v>0.317430856364178</v>
      </c>
      <c r="V100" s="22" t="n">
        <f aca="false">+T100*U100</f>
        <v>349.384375062369</v>
      </c>
    </row>
    <row r="101" customFormat="false" ht="12.8" hidden="false" customHeight="false" outlineLevel="0" collapsed="false">
      <c r="A101" s="11" t="n">
        <v>105</v>
      </c>
      <c r="B101" s="11" t="n">
        <v>3</v>
      </c>
      <c r="C101" s="24" t="s">
        <v>273</v>
      </c>
      <c r="D101" s="28" t="n">
        <v>21899831726</v>
      </c>
      <c r="E101" s="29" t="s">
        <v>276</v>
      </c>
      <c r="F101" s="28" t="n">
        <v>6172</v>
      </c>
      <c r="G101" s="28" t="n">
        <v>149</v>
      </c>
      <c r="H101" s="28" t="s">
        <v>277</v>
      </c>
      <c r="I101" s="28" t="n">
        <v>0</v>
      </c>
      <c r="J101" s="28" t="n">
        <v>0</v>
      </c>
      <c r="K101" s="30" t="n">
        <v>0</v>
      </c>
      <c r="L101" s="28" t="n">
        <v>0</v>
      </c>
      <c r="M101" s="31" t="n">
        <v>0</v>
      </c>
      <c r="N101" s="32" t="n">
        <v>8.36</v>
      </c>
      <c r="O101" s="30" t="n">
        <v>0</v>
      </c>
      <c r="P101" s="18" t="s">
        <v>275</v>
      </c>
      <c r="Q101" s="18" t="s">
        <v>228</v>
      </c>
      <c r="R101" s="18" t="n">
        <v>10</v>
      </c>
      <c r="S101" s="23" t="n">
        <v>0.317430856364178</v>
      </c>
      <c r="T101" s="20" t="n">
        <f aca="false">+S101*M101</f>
        <v>0</v>
      </c>
      <c r="U101" s="21" t="e">
        <f aca="false">+T101/M101</f>
        <v>#DIV/0!</v>
      </c>
      <c r="V101" s="22" t="e">
        <f aca="false">+T101*U101</f>
        <v>#DIV/0!</v>
      </c>
    </row>
    <row r="102" customFormat="false" ht="12.8" hidden="false" customHeight="false" outlineLevel="0" collapsed="false">
      <c r="A102" s="11" t="n">
        <v>68</v>
      </c>
      <c r="B102" s="11" t="n">
        <v>2</v>
      </c>
      <c r="C102" s="24" t="s">
        <v>273</v>
      </c>
      <c r="D102" s="24" t="n">
        <v>23592989780</v>
      </c>
      <c r="E102" s="25" t="s">
        <v>278</v>
      </c>
      <c r="F102" s="24" t="n">
        <v>62236</v>
      </c>
      <c r="G102" s="24" t="n">
        <v>1789</v>
      </c>
      <c r="H102" s="24" t="s">
        <v>279</v>
      </c>
      <c r="I102" s="24" t="n">
        <v>64</v>
      </c>
      <c r="J102" s="24" t="n">
        <v>5.3</v>
      </c>
      <c r="K102" s="24" t="s">
        <v>280</v>
      </c>
      <c r="L102" s="24" t="n">
        <v>65</v>
      </c>
      <c r="M102" s="26" t="n">
        <v>4723.45</v>
      </c>
      <c r="N102" s="27" t="n">
        <v>338.91</v>
      </c>
      <c r="O102" s="24" t="s">
        <v>281</v>
      </c>
      <c r="P102" s="18" t="s">
        <v>275</v>
      </c>
      <c r="Q102" s="18" t="s">
        <v>228</v>
      </c>
      <c r="R102" s="18" t="n">
        <v>10</v>
      </c>
      <c r="S102" s="23" t="n">
        <v>0.317430856364178</v>
      </c>
      <c r="T102" s="20" t="n">
        <f aca="false">+S102*M102</f>
        <v>1499.36877849338</v>
      </c>
      <c r="U102" s="21" t="n">
        <f aca="false">+T102/M102</f>
        <v>0.317430856364178</v>
      </c>
      <c r="V102" s="22" t="n">
        <f aca="false">+T102*U102</f>
        <v>475.945915362864</v>
      </c>
    </row>
    <row r="103" customFormat="false" ht="12.8" hidden="false" customHeight="false" outlineLevel="0" collapsed="false">
      <c r="A103" s="11" t="n">
        <v>69</v>
      </c>
      <c r="B103" s="11" t="n">
        <v>2</v>
      </c>
      <c r="C103" s="24" t="s">
        <v>273</v>
      </c>
      <c r="D103" s="24" t="n">
        <v>19498962091</v>
      </c>
      <c r="E103" s="25" t="s">
        <v>282</v>
      </c>
      <c r="F103" s="24" t="n">
        <v>60302</v>
      </c>
      <c r="G103" s="24" t="n">
        <v>1490</v>
      </c>
      <c r="H103" s="24" t="s">
        <v>283</v>
      </c>
      <c r="I103" s="24" t="n">
        <v>58</v>
      </c>
      <c r="J103" s="24" t="n">
        <v>4.17</v>
      </c>
      <c r="K103" s="24" t="s">
        <v>284</v>
      </c>
      <c r="L103" s="24" t="n">
        <v>65</v>
      </c>
      <c r="M103" s="26" t="n">
        <v>3509.9</v>
      </c>
      <c r="N103" s="27" t="n">
        <v>241.7</v>
      </c>
      <c r="O103" s="24" t="s">
        <v>63</v>
      </c>
      <c r="P103" s="18" t="s">
        <v>275</v>
      </c>
      <c r="Q103" s="18" t="s">
        <v>228</v>
      </c>
      <c r="R103" s="18" t="n">
        <v>10</v>
      </c>
      <c r="S103" s="23" t="n">
        <v>0.317430856364178</v>
      </c>
      <c r="T103" s="20" t="n">
        <f aca="false">+S103*M103</f>
        <v>1114.15056275263</v>
      </c>
      <c r="U103" s="21" t="n">
        <f aca="false">+T103/M103</f>
        <v>0.317430856364178</v>
      </c>
      <c r="V103" s="22" t="n">
        <f aca="false">+T103*U103</f>
        <v>353.665767253198</v>
      </c>
    </row>
    <row r="104" customFormat="false" ht="12.8" hidden="false" customHeight="false" outlineLevel="0" collapsed="false">
      <c r="A104" s="11" t="n">
        <v>70</v>
      </c>
      <c r="B104" s="11" t="n">
        <v>2</v>
      </c>
      <c r="C104" s="24" t="s">
        <v>273</v>
      </c>
      <c r="D104" s="24" t="n">
        <v>23697473463</v>
      </c>
      <c r="E104" s="25" t="s">
        <v>285</v>
      </c>
      <c r="F104" s="24" t="n">
        <v>57818</v>
      </c>
      <c r="G104" s="24" t="n">
        <v>1512</v>
      </c>
      <c r="H104" s="24" t="s">
        <v>286</v>
      </c>
      <c r="I104" s="24" t="n">
        <v>30</v>
      </c>
      <c r="J104" s="24" t="n">
        <v>9.95</v>
      </c>
      <c r="K104" s="24" t="s">
        <v>164</v>
      </c>
      <c r="L104" s="24" t="n">
        <v>31</v>
      </c>
      <c r="M104" s="26" t="n">
        <v>3422.23</v>
      </c>
      <c r="N104" s="27" t="n">
        <v>298.56</v>
      </c>
      <c r="O104" s="24" t="s">
        <v>287</v>
      </c>
      <c r="P104" s="18" t="s">
        <v>275</v>
      </c>
      <c r="Q104" s="18" t="s">
        <v>228</v>
      </c>
      <c r="R104" s="18" t="n">
        <v>30</v>
      </c>
      <c r="S104" s="23" t="n">
        <v>0.290795058437541</v>
      </c>
      <c r="T104" s="20" t="n">
        <f aca="false">+S104*M104</f>
        <v>995.167572836706</v>
      </c>
      <c r="U104" s="21" t="n">
        <f aca="false">+T104/M104</f>
        <v>0.290795058437541</v>
      </c>
      <c r="V104" s="22" t="n">
        <f aca="false">+T104*U104</f>
        <v>289.389812498196</v>
      </c>
    </row>
    <row r="105" customFormat="false" ht="12.8" hidden="false" customHeight="false" outlineLevel="0" collapsed="false">
      <c r="A105" s="11" t="n">
        <v>71</v>
      </c>
      <c r="B105" s="11" t="n">
        <v>2</v>
      </c>
      <c r="C105" s="24" t="s">
        <v>273</v>
      </c>
      <c r="D105" s="24" t="n">
        <v>21597667287</v>
      </c>
      <c r="E105" s="25" t="s">
        <v>288</v>
      </c>
      <c r="F105" s="24" t="n">
        <v>15317</v>
      </c>
      <c r="G105" s="24" t="n">
        <v>180</v>
      </c>
      <c r="H105" s="24" t="s">
        <v>289</v>
      </c>
      <c r="I105" s="24" t="n">
        <v>3</v>
      </c>
      <c r="J105" s="24" t="n">
        <v>17.05</v>
      </c>
      <c r="K105" s="24" t="s">
        <v>123</v>
      </c>
      <c r="L105" s="24" t="n">
        <v>3</v>
      </c>
      <c r="M105" s="26" t="n">
        <v>714.6</v>
      </c>
      <c r="N105" s="27" t="n">
        <v>51.14</v>
      </c>
      <c r="O105" s="24" t="s">
        <v>290</v>
      </c>
      <c r="P105" s="18" t="s">
        <v>275</v>
      </c>
      <c r="Q105" s="18" t="s">
        <v>228</v>
      </c>
      <c r="R105" s="18" t="n">
        <v>50</v>
      </c>
      <c r="S105" s="23" t="n">
        <v>0.36147070842065</v>
      </c>
      <c r="T105" s="20" t="n">
        <f aca="false">+S105*M105</f>
        <v>258.306968237397</v>
      </c>
      <c r="U105" s="21" t="n">
        <f aca="false">+T105/M105</f>
        <v>0.36147070842065</v>
      </c>
      <c r="V105" s="22" t="n">
        <f aca="false">+T105*U105</f>
        <v>93.3704027987621</v>
      </c>
    </row>
    <row r="106" customFormat="false" ht="12.8" hidden="false" customHeight="false" outlineLevel="0" collapsed="false"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40"/>
    </row>
    <row r="107" customFormat="false" ht="12.8" hidden="false" customHeight="false" outlineLevel="0" collapsed="false"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40"/>
    </row>
    <row r="108" customFormat="false" ht="12.8" hidden="false" customHeight="false" outlineLevel="0" collapsed="false"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40"/>
    </row>
    <row r="109" customFormat="false" ht="12.8" hidden="false" customHeight="false" outlineLevel="0" collapsed="false"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40"/>
    </row>
    <row r="110" customFormat="false" ht="12.8" hidden="false" customHeight="false" outlineLevel="0" collapsed="false"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40"/>
    </row>
    <row r="111" customFormat="false" ht="12.8" hidden="false" customHeight="false" outlineLevel="0" collapsed="false"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40"/>
    </row>
    <row r="112" customFormat="false" ht="12.8" hidden="false" customHeight="false" outlineLevel="0" collapsed="false"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40"/>
    </row>
    <row r="113" customFormat="false" ht="12.8" hidden="false" customHeight="false" outlineLevel="0" collapsed="false"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40"/>
    </row>
    <row r="114" customFormat="false" ht="12.8" hidden="false" customHeight="false" outlineLevel="0" collapsed="false"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40"/>
    </row>
    <row r="115" customFormat="false" ht="12.8" hidden="false" customHeight="false" outlineLevel="0" collapsed="false"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40"/>
    </row>
    <row r="116" customFormat="false" ht="12.8" hidden="false" customHeight="false" outlineLevel="0" collapsed="false"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40"/>
    </row>
    <row r="117" customFormat="false" ht="12.8" hidden="false" customHeight="false" outlineLevel="0" collapsed="false"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40"/>
    </row>
    <row r="118" customFormat="false" ht="12.8" hidden="false" customHeight="false" outlineLevel="0" collapsed="false"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40"/>
    </row>
    <row r="119" customFormat="false" ht="12.8" hidden="false" customHeight="false" outlineLevel="0" collapsed="false"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40"/>
    </row>
    <row r="120" customFormat="false" ht="12.8" hidden="false" customHeight="false" outlineLevel="0" collapsed="false"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40"/>
    </row>
    <row r="121" customFormat="false" ht="12.8" hidden="false" customHeight="false" outlineLevel="0" collapsed="false"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40"/>
    </row>
    <row r="122" customFormat="false" ht="12.8" hidden="false" customHeight="false" outlineLevel="0" collapsed="false"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40"/>
    </row>
    <row r="123" customFormat="false" ht="12.8" hidden="false" customHeight="false" outlineLevel="0" collapsed="false"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40"/>
    </row>
    <row r="124" customFormat="false" ht="12.8" hidden="false" customHeight="false" outlineLevel="0" collapsed="false"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40"/>
    </row>
    <row r="125" customFormat="false" ht="12.8" hidden="false" customHeight="false" outlineLevel="0" collapsed="false"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40"/>
    </row>
    <row r="126" customFormat="false" ht="12.8" hidden="false" customHeight="false" outlineLevel="0" collapsed="false"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40"/>
    </row>
    <row r="127" customFormat="false" ht="12.8" hidden="false" customHeight="false" outlineLevel="0" collapsed="false"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40"/>
    </row>
    <row r="128" customFormat="false" ht="12.8" hidden="false" customHeight="false" outlineLevel="0" collapsed="false"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40"/>
    </row>
    <row r="129" customFormat="false" ht="12.8" hidden="false" customHeight="false" outlineLevel="0" collapsed="false"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40"/>
    </row>
    <row r="130" customFormat="false" ht="12.8" hidden="false" customHeight="false" outlineLevel="0" collapsed="false"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40"/>
    </row>
    <row r="131" customFormat="false" ht="12.8" hidden="false" customHeight="false" outlineLevel="0" collapsed="false"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40"/>
    </row>
    <row r="132" customFormat="false" ht="12.8" hidden="false" customHeight="false" outlineLevel="0" collapsed="false"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40"/>
    </row>
    <row r="133" customFormat="false" ht="12.8" hidden="false" customHeight="false" outlineLevel="0" collapsed="false"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40"/>
    </row>
    <row r="134" customFormat="false" ht="12.8" hidden="false" customHeight="false" outlineLevel="0" collapsed="false"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40"/>
    </row>
    <row r="135" customFormat="false" ht="12.8" hidden="false" customHeight="false" outlineLevel="0" collapsed="false"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40"/>
    </row>
    <row r="136" customFormat="false" ht="12.8" hidden="false" customHeight="false" outlineLevel="0" collapsed="false"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40"/>
    </row>
    <row r="137" customFormat="false" ht="12.8" hidden="false" customHeight="false" outlineLevel="0" collapsed="false"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40"/>
    </row>
    <row r="138" customFormat="false" ht="12.8" hidden="false" customHeight="false" outlineLevel="0" collapsed="false"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40"/>
    </row>
    <row r="139" customFormat="false" ht="12.8" hidden="false" customHeight="false" outlineLevel="0" collapsed="false"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40"/>
    </row>
    <row r="140" customFormat="false" ht="12.8" hidden="false" customHeight="false" outlineLevel="0" collapsed="false"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40"/>
    </row>
    <row r="141" customFormat="false" ht="12.8" hidden="false" customHeight="false" outlineLevel="0" collapsed="false"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40"/>
    </row>
    <row r="142" customFormat="false" ht="12.8" hidden="false" customHeight="false" outlineLevel="0" collapsed="false"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40"/>
    </row>
    <row r="143" customFormat="false" ht="12.8" hidden="false" customHeight="false" outlineLevel="0" collapsed="false"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40"/>
    </row>
    <row r="144" customFormat="false" ht="12.8" hidden="false" customHeight="false" outlineLevel="0" collapsed="false"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40"/>
    </row>
    <row r="145" customFormat="false" ht="12.8" hidden="false" customHeight="false" outlineLevel="0" collapsed="false"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40"/>
    </row>
    <row r="146" customFormat="false" ht="12.8" hidden="false" customHeight="false" outlineLevel="0" collapsed="false"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40"/>
    </row>
    <row r="147" customFormat="false" ht="12.8" hidden="false" customHeight="false" outlineLevel="0" collapsed="false"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40"/>
    </row>
    <row r="148" customFormat="false" ht="12.8" hidden="false" customHeight="false" outlineLevel="0" collapsed="false"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40"/>
    </row>
    <row r="149" customFormat="false" ht="12.8" hidden="false" customHeight="false" outlineLevel="0" collapsed="false"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40"/>
    </row>
    <row r="150" customFormat="false" ht="12.8" hidden="false" customHeight="false" outlineLevel="0" collapsed="false"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40"/>
    </row>
    <row r="151" customFormat="false" ht="12.8" hidden="false" customHeight="false" outlineLevel="0" collapsed="false"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40"/>
    </row>
    <row r="152" customFormat="false" ht="12.8" hidden="false" customHeight="false" outlineLevel="0" collapsed="false"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40"/>
    </row>
    <row r="153" customFormat="false" ht="12.8" hidden="false" customHeight="false" outlineLevel="0" collapsed="false"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40"/>
    </row>
    <row r="154" customFormat="false" ht="12.8" hidden="false" customHeight="false" outlineLevel="0" collapsed="false"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40"/>
    </row>
    <row r="155" customFormat="false" ht="12.8" hidden="false" customHeight="false" outlineLevel="0" collapsed="false"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40"/>
    </row>
    <row r="156" customFormat="false" ht="12.8" hidden="false" customHeight="false" outlineLevel="0" collapsed="false"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40"/>
    </row>
    <row r="157" customFormat="false" ht="12.8" hidden="false" customHeight="false" outlineLevel="0" collapsed="false"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40"/>
    </row>
    <row r="158" customFormat="false" ht="12.8" hidden="false" customHeight="false" outlineLevel="0" collapsed="false"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40"/>
    </row>
    <row r="159" customFormat="false" ht="12.8" hidden="false" customHeight="false" outlineLevel="0" collapsed="false"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40"/>
    </row>
    <row r="160" customFormat="false" ht="12.8" hidden="false" customHeight="false" outlineLevel="0" collapsed="false"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40"/>
    </row>
    <row r="161" customFormat="false" ht="12.8" hidden="false" customHeight="false" outlineLevel="0" collapsed="false"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40"/>
    </row>
    <row r="162" customFormat="false" ht="12.8" hidden="false" customHeight="false" outlineLevel="0" collapsed="false"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40"/>
    </row>
    <row r="163" customFormat="false" ht="12.8" hidden="false" customHeight="false" outlineLevel="0" collapsed="false"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40"/>
    </row>
    <row r="164" customFormat="false" ht="12.8" hidden="false" customHeight="false" outlineLevel="0" collapsed="false"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40"/>
    </row>
    <row r="165" customFormat="false" ht="12.8" hidden="false" customHeight="false" outlineLevel="0" collapsed="false"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40"/>
    </row>
    <row r="166" customFormat="false" ht="12.8" hidden="false" customHeight="false" outlineLevel="0" collapsed="false"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40"/>
    </row>
    <row r="167" customFormat="false" ht="12.8" hidden="false" customHeight="false" outlineLevel="0" collapsed="false"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40"/>
    </row>
    <row r="168" customFormat="false" ht="12.8" hidden="false" customHeight="false" outlineLevel="0" collapsed="false"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40"/>
    </row>
    <row r="169" customFormat="false" ht="12.8" hidden="false" customHeight="false" outlineLevel="0" collapsed="false"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40"/>
    </row>
  </sheetData>
  <autoFilter ref="A1:V105"/>
  <conditionalFormatting sqref="O2:Q2 O3:O29 P3:Q105">
    <cfRule type="colorScale" priority="2">
      <colorScale>
        <cfvo type="min" val="0"/>
        <cfvo type="percentile" val="50"/>
        <cfvo type="max" val="0"/>
        <color rgb="FFDCFCE7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4" min="3" style="0" width="14.01"/>
    <col collapsed="false" customWidth="true" hidden="false" outlineLevel="0" max="7" min="5" style="0" width="10"/>
    <col collapsed="false" customWidth="true" hidden="false" outlineLevel="0" max="8" min="8" style="0" width="11.99"/>
  </cols>
  <sheetData>
    <row r="1" customFormat="false" ht="21" hidden="false" customHeight="false" outlineLevel="0" collapsed="false">
      <c r="A1" s="41" t="s">
        <v>291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3" customFormat="false" ht="15" hidden="false" customHeight="false" outlineLevel="0" collapsed="false">
      <c r="A3" s="42" t="s">
        <v>292</v>
      </c>
      <c r="B3" s="43"/>
      <c r="C3" s="44" t="n">
        <f aca="false">COUNTA('Base e QC'!D2:D29)</f>
        <v>28</v>
      </c>
    </row>
    <row r="4" customFormat="false" ht="15" hidden="false" customHeight="false" outlineLevel="0" collapsed="false">
      <c r="A4" s="42" t="s">
        <v>293</v>
      </c>
      <c r="B4" s="43"/>
      <c r="C4" s="45" t="n">
        <f aca="false">SUM('Base e QC'!N2:N29)</f>
        <v>2737.85</v>
      </c>
    </row>
    <row r="5" customFormat="false" ht="15" hidden="false" customHeight="false" outlineLevel="0" collapsed="false">
      <c r="A5" s="42" t="s">
        <v>12</v>
      </c>
      <c r="B5" s="43"/>
      <c r="C5" s="45" t="n">
        <f aca="false">SUM('Base e QC'!M2:M29)</f>
        <v>36033.13</v>
      </c>
    </row>
    <row r="6" customFormat="false" ht="15" hidden="false" customHeight="false" outlineLevel="0" collapsed="false">
      <c r="A6" s="42" t="s">
        <v>294</v>
      </c>
      <c r="B6" s="43"/>
      <c r="C6" s="46" t="n">
        <f aca="false">IFERROR(C5/C4,0)</f>
        <v>13.1611045163175</v>
      </c>
    </row>
    <row r="7" customFormat="false" ht="15" hidden="false" customHeight="false" outlineLevel="0" collapsed="false">
      <c r="A7" s="42" t="s">
        <v>295</v>
      </c>
      <c r="B7" s="43"/>
      <c r="C7" s="47" t="n">
        <f aca="false">IFERROR(C4/C5,0)</f>
        <v>0.075981464835278</v>
      </c>
    </row>
    <row r="8" customFormat="false" ht="15" hidden="false" customHeight="false" outlineLevel="0" collapsed="false">
      <c r="A8" s="42" t="s">
        <v>6</v>
      </c>
      <c r="B8" s="43"/>
      <c r="C8" s="48" t="n">
        <f aca="false">SUM('Base e QC'!G2:G29)</f>
        <v>8347</v>
      </c>
    </row>
    <row r="9" customFormat="false" ht="15" hidden="false" customHeight="false" outlineLevel="0" collapsed="false">
      <c r="A9" s="42" t="s">
        <v>8</v>
      </c>
      <c r="B9" s="43"/>
      <c r="C9" s="48" t="n">
        <f aca="false">SUM('Base e QC'!I2:I29)</f>
        <v>740</v>
      </c>
    </row>
    <row r="10" customFormat="false" ht="15" hidden="false" customHeight="false" outlineLevel="0" collapsed="false">
      <c r="A10" s="42" t="s">
        <v>296</v>
      </c>
      <c r="B10" s="43"/>
      <c r="C10" s="47" t="n">
        <f aca="false">IFERROR(C8/C11,0)</f>
        <v>0.0211442786069652</v>
      </c>
    </row>
    <row r="11" customFormat="false" ht="15" hidden="false" customHeight="false" outlineLevel="0" collapsed="false">
      <c r="A11" s="49" t="s">
        <v>5</v>
      </c>
      <c r="C11" s="50" t="n">
        <f aca="false">SUM('Base e QC'!F2:F29)</f>
        <v>394764</v>
      </c>
    </row>
    <row r="13" customFormat="false" ht="21.95" hidden="false" customHeight="true" outlineLevel="0" collapsed="false">
      <c r="A13" s="51" t="s">
        <v>3</v>
      </c>
      <c r="B13" s="51" t="s">
        <v>4</v>
      </c>
      <c r="C13" s="51" t="s">
        <v>12</v>
      </c>
      <c r="D13" s="51" t="s">
        <v>13</v>
      </c>
      <c r="E13" s="51" t="s">
        <v>297</v>
      </c>
      <c r="F13" s="51" t="s">
        <v>14</v>
      </c>
      <c r="G13" s="51" t="s">
        <v>6</v>
      </c>
      <c r="H13" s="51" t="s">
        <v>8</v>
      </c>
    </row>
    <row r="14" customFormat="false" ht="21.95" hidden="false" customHeight="true" outlineLevel="0" collapsed="false">
      <c r="A14" s="43" t="n">
        <v>20997495265</v>
      </c>
      <c r="B14" s="52" t="s">
        <v>298</v>
      </c>
      <c r="C14" s="53" t="n">
        <v>4349</v>
      </c>
      <c r="D14" s="53" t="n">
        <v>297.24</v>
      </c>
      <c r="E14" s="54" t="n">
        <v>14.63</v>
      </c>
      <c r="F14" s="55" t="n">
        <v>0.0683</v>
      </c>
      <c r="G14" s="56" t="n">
        <v>665</v>
      </c>
      <c r="H14" s="56" t="n">
        <v>59</v>
      </c>
    </row>
    <row r="15" customFormat="false" ht="21.95" hidden="false" customHeight="true" outlineLevel="0" collapsed="false">
      <c r="A15" s="43" t="n">
        <v>23697297381</v>
      </c>
      <c r="B15" s="52" t="s">
        <v>299</v>
      </c>
      <c r="C15" s="53" t="n">
        <v>3828.68</v>
      </c>
      <c r="D15" s="53" t="n">
        <v>276.51</v>
      </c>
      <c r="E15" s="54" t="n">
        <v>13.85</v>
      </c>
      <c r="F15" s="55" t="n">
        <v>0.0722</v>
      </c>
      <c r="G15" s="56" t="n">
        <v>653</v>
      </c>
      <c r="H15" s="56" t="n">
        <v>90</v>
      </c>
    </row>
    <row r="16" customFormat="false" ht="21.95" hidden="false" customHeight="true" outlineLevel="0" collapsed="false">
      <c r="A16" s="43" t="n">
        <v>15833567190</v>
      </c>
      <c r="B16" s="52" t="s">
        <v>300</v>
      </c>
      <c r="C16" s="53" t="n">
        <v>2315.9</v>
      </c>
      <c r="D16" s="53" t="n">
        <v>151.02</v>
      </c>
      <c r="E16" s="54" t="n">
        <v>15.33</v>
      </c>
      <c r="F16" s="55" t="n">
        <v>0.0652</v>
      </c>
      <c r="G16" s="56" t="n">
        <v>1114</v>
      </c>
      <c r="H16" s="56" t="n">
        <v>62</v>
      </c>
    </row>
    <row r="17" customFormat="false" ht="21.95" hidden="false" customHeight="true" outlineLevel="0" collapsed="false">
      <c r="A17" s="43" t="n">
        <v>20997495267</v>
      </c>
      <c r="B17" s="52" t="s">
        <v>301</v>
      </c>
      <c r="C17" s="53" t="n">
        <v>2304.6</v>
      </c>
      <c r="D17" s="53" t="n">
        <v>157.25</v>
      </c>
      <c r="E17" s="54" t="n">
        <v>14.66</v>
      </c>
      <c r="F17" s="55" t="n">
        <v>0.0682</v>
      </c>
      <c r="G17" s="56" t="n">
        <v>478</v>
      </c>
      <c r="H17" s="56" t="n">
        <v>57</v>
      </c>
    </row>
    <row r="18" customFormat="false" ht="21.95" hidden="false" customHeight="true" outlineLevel="0" collapsed="false">
      <c r="A18" s="43" t="n">
        <v>22694202713</v>
      </c>
      <c r="B18" s="52" t="s">
        <v>105</v>
      </c>
      <c r="C18" s="53" t="n">
        <v>1791.68</v>
      </c>
      <c r="D18" s="53" t="n">
        <v>132.68</v>
      </c>
      <c r="E18" s="54" t="n">
        <v>13.5</v>
      </c>
      <c r="F18" s="55" t="n">
        <v>0.0741</v>
      </c>
      <c r="G18" s="56" t="n">
        <v>525</v>
      </c>
      <c r="H18" s="56" t="n">
        <v>51</v>
      </c>
    </row>
    <row r="19" customFormat="false" ht="21.95" hidden="false" customHeight="true" outlineLevel="0" collapsed="false">
      <c r="A19" s="43" t="n">
        <v>15250252385</v>
      </c>
      <c r="B19" s="52" t="s">
        <v>302</v>
      </c>
      <c r="C19" s="53" t="n">
        <v>1640.2</v>
      </c>
      <c r="D19" s="53" t="n">
        <v>124.13</v>
      </c>
      <c r="E19" s="54" t="n">
        <v>13.21</v>
      </c>
      <c r="F19" s="55" t="n">
        <v>0.0757</v>
      </c>
      <c r="G19" s="56" t="n">
        <v>567</v>
      </c>
      <c r="H19" s="56" t="n">
        <v>36</v>
      </c>
    </row>
    <row r="20" customFormat="false" ht="21.95" hidden="false" customHeight="true" outlineLevel="0" collapsed="false">
      <c r="A20" s="43" t="n">
        <v>23092653852</v>
      </c>
      <c r="B20" s="52" t="s">
        <v>303</v>
      </c>
      <c r="C20" s="53" t="n">
        <v>1297.4</v>
      </c>
      <c r="D20" s="53" t="n">
        <v>75.98</v>
      </c>
      <c r="E20" s="54" t="n">
        <v>17.08</v>
      </c>
      <c r="F20" s="55" t="n">
        <v>0.0586</v>
      </c>
      <c r="G20" s="56" t="n">
        <v>151</v>
      </c>
      <c r="H20" s="56" t="n">
        <v>25</v>
      </c>
    </row>
    <row r="21" customFormat="false" ht="21.95" hidden="false" customHeight="true" outlineLevel="0" collapsed="false">
      <c r="A21" s="43" t="n">
        <v>22097387599</v>
      </c>
      <c r="B21" s="52" t="s">
        <v>304</v>
      </c>
      <c r="C21" s="53" t="n">
        <v>919.4</v>
      </c>
      <c r="D21" s="53" t="n">
        <v>87.23</v>
      </c>
      <c r="E21" s="54" t="n">
        <v>10.54</v>
      </c>
      <c r="F21" s="55" t="n">
        <v>0.0949</v>
      </c>
      <c r="G21" s="56" t="n">
        <v>410</v>
      </c>
      <c r="H21" s="56" t="n">
        <v>38</v>
      </c>
    </row>
    <row r="22" customFormat="false" ht="21.95" hidden="false" customHeight="true" outlineLevel="0" collapsed="false">
      <c r="A22" s="43" t="n">
        <v>20997495263</v>
      </c>
      <c r="B22" s="52" t="s">
        <v>305</v>
      </c>
      <c r="C22" s="53" t="n">
        <v>729.9</v>
      </c>
      <c r="D22" s="53" t="n">
        <v>58.43</v>
      </c>
      <c r="E22" s="54" t="n">
        <v>12.49</v>
      </c>
      <c r="F22" s="55" t="n">
        <v>0.08</v>
      </c>
      <c r="G22" s="56" t="n">
        <v>176</v>
      </c>
      <c r="H22" s="56" t="n">
        <v>21</v>
      </c>
    </row>
    <row r="23" customFormat="false" ht="21.95" hidden="false" customHeight="true" outlineLevel="0" collapsed="false">
      <c r="A23" s="43" t="n">
        <v>19799037778</v>
      </c>
      <c r="B23" s="52" t="s">
        <v>306</v>
      </c>
      <c r="C23" s="53" t="n">
        <v>684.15</v>
      </c>
      <c r="D23" s="53" t="n">
        <v>55.04</v>
      </c>
      <c r="E23" s="54" t="n">
        <v>12.43</v>
      </c>
      <c r="F23" s="55" t="n">
        <v>0.0804</v>
      </c>
      <c r="G23" s="56" t="n">
        <v>128</v>
      </c>
      <c r="H23" s="56" t="n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2026-04-29T19:58:47Z</dcterms:created>
  <dc:creator>Richard</dc:creator>
  <dc:description/>
  <dc:language>pt-BR</dc:language>
  <cp:lastModifiedBy/>
  <dcterms:modified xsi:type="dcterms:W3CDTF">2026-05-04T21:35:31Z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